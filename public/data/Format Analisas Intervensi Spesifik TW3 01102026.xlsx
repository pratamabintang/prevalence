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nta\Downloads\"/>
    </mc:Choice>
  </mc:AlternateContent>
  <xr:revisionPtr revIDLastSave="0" documentId="13_ncr:1_{733A3E97-3B02-40B1-9BF3-C559B403B955}" xr6:coauthVersionLast="47" xr6:coauthVersionMax="47" xr10:uidLastSave="{00000000-0000-0000-0000-000000000000}"/>
  <bookViews>
    <workbookView xWindow="3168" yWindow="3180" windowWidth="17280" windowHeight="9960" firstSheet="2" activeTab="5" xr2:uid="{00000000-000D-0000-FFFF-FFFF00000000}"/>
  </bookViews>
  <sheets>
    <sheet name="MASALAH GIZI" sheetId="18" r:id="rId1"/>
    <sheet name="rekap indikator 01102026" sheetId="2" r:id="rId2"/>
    <sheet name="capaian intervensi spesifik" sheetId="6" r:id="rId3"/>
    <sheet name="idl" sheetId="24" r:id="rId4"/>
    <sheet name="anak" sheetId="23" r:id="rId5"/>
    <sheet name="gizi" sheetId="22" r:id="rId6"/>
    <sheet name="BUMIL" sheetId="20" r:id="rId7"/>
    <sheet name="remaja" sheetId="21" r:id="rId8"/>
    <sheet name="grafik rematri" sheetId="11" r:id="rId9"/>
    <sheet name="grafik bumil" sheetId="12" r:id="rId10"/>
    <sheet name="grafik pertumbuhan" sheetId="13" r:id="rId11"/>
    <sheet name="grafik ASI MPASI" sheetId="14" r:id="rId12"/>
    <sheet name="grafik PMT" sheetId="15" r:id="rId13"/>
    <sheet name="grafik gibur" sheetId="16" r:id="rId14"/>
    <sheet name="grafik imunisasi" sheetId="17" r:id="rId15"/>
    <sheet name="capaian INEY" sheetId="8" r:id="rId16"/>
    <sheet name="BOK PMT" sheetId="19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42" i="22" l="1"/>
  <c r="AC41" i="22"/>
  <c r="AC40" i="22"/>
  <c r="AC39" i="22"/>
  <c r="AC38" i="22"/>
  <c r="AC37" i="22"/>
  <c r="AC36" i="22"/>
  <c r="AC35" i="22"/>
  <c r="AC34" i="22"/>
  <c r="AC33" i="22"/>
  <c r="AC32" i="22"/>
  <c r="AC31" i="22"/>
  <c r="AC30" i="22"/>
  <c r="AC29" i="22"/>
  <c r="AC28" i="22"/>
  <c r="AC27" i="22"/>
  <c r="AC26" i="22"/>
  <c r="AC25" i="22"/>
  <c r="AC24" i="22"/>
  <c r="AC23" i="22"/>
  <c r="AC22" i="22"/>
  <c r="AC21" i="22"/>
  <c r="AC20" i="22"/>
  <c r="AC19" i="22"/>
  <c r="AC18" i="22"/>
  <c r="AC17" i="22"/>
  <c r="AC16" i="22"/>
  <c r="AC15" i="22"/>
  <c r="AC14" i="22"/>
  <c r="AC13" i="22"/>
  <c r="AC12" i="22"/>
  <c r="AC11" i="22"/>
  <c r="AC10" i="22"/>
  <c r="AC9" i="22"/>
  <c r="AC8" i="22"/>
  <c r="AC7" i="22"/>
  <c r="G39" i="24"/>
  <c r="H39" i="24" s="1"/>
  <c r="F39" i="24"/>
  <c r="E38" i="24"/>
  <c r="E37" i="24"/>
  <c r="E36" i="24"/>
  <c r="E35" i="24"/>
  <c r="E34" i="24"/>
  <c r="E33" i="24"/>
  <c r="E32" i="24"/>
  <c r="E31" i="24"/>
  <c r="E30" i="24"/>
  <c r="E29" i="24"/>
  <c r="E28" i="24"/>
  <c r="E27" i="24"/>
  <c r="E26" i="24"/>
  <c r="E25" i="24"/>
  <c r="E24" i="24"/>
  <c r="E23" i="24"/>
  <c r="E22" i="24"/>
  <c r="E21" i="24"/>
  <c r="E20" i="24"/>
  <c r="E19" i="24"/>
  <c r="E18" i="24"/>
  <c r="E17" i="24"/>
  <c r="E16" i="24"/>
  <c r="E15" i="24"/>
  <c r="E14" i="24"/>
  <c r="E13" i="24"/>
  <c r="E12" i="24"/>
  <c r="E11" i="24"/>
  <c r="E10" i="24"/>
  <c r="E9" i="24"/>
  <c r="E8" i="24"/>
  <c r="E7" i="24"/>
  <c r="E6" i="24"/>
  <c r="E5" i="24"/>
  <c r="E4" i="24"/>
  <c r="E39" i="24"/>
  <c r="D39" i="24"/>
  <c r="C39" i="24"/>
  <c r="V42" i="18" l="1"/>
  <c r="V41" i="18"/>
  <c r="V40" i="18"/>
  <c r="V39" i="18"/>
  <c r="V38" i="18"/>
  <c r="V37" i="18"/>
  <c r="V36" i="18"/>
  <c r="V35" i="18"/>
  <c r="V34" i="18"/>
  <c r="V33" i="18"/>
  <c r="V32" i="18"/>
  <c r="V31" i="18"/>
  <c r="V30" i="18"/>
  <c r="V29" i="18"/>
  <c r="V28" i="18"/>
  <c r="V27" i="18"/>
  <c r="V26" i="18"/>
  <c r="V25" i="18"/>
  <c r="V24" i="18"/>
  <c r="V23" i="18"/>
  <c r="V22" i="18"/>
  <c r="V21" i="18"/>
  <c r="V20" i="18"/>
  <c r="V19" i="18"/>
  <c r="V18" i="18"/>
  <c r="V17" i="18"/>
  <c r="V16" i="18"/>
  <c r="V15" i="18"/>
  <c r="V14" i="18"/>
  <c r="V13" i="18"/>
  <c r="V12" i="18"/>
  <c r="V11" i="18"/>
  <c r="V10" i="18"/>
  <c r="V9" i="18"/>
  <c r="V8" i="18"/>
  <c r="V7" i="18"/>
  <c r="U42" i="18"/>
  <c r="U41" i="18"/>
  <c r="U40" i="18"/>
  <c r="U39" i="18"/>
  <c r="U38" i="18"/>
  <c r="U37" i="18"/>
  <c r="U36" i="18"/>
  <c r="U35" i="18"/>
  <c r="U34" i="18"/>
  <c r="U33" i="18"/>
  <c r="U32" i="18"/>
  <c r="U31" i="18"/>
  <c r="U30" i="18"/>
  <c r="U29" i="18"/>
  <c r="U28" i="18"/>
  <c r="U27" i="18"/>
  <c r="U26" i="18"/>
  <c r="U25" i="18"/>
  <c r="U24" i="18"/>
  <c r="U23" i="18"/>
  <c r="U22" i="18"/>
  <c r="U21" i="18"/>
  <c r="U20" i="18"/>
  <c r="U19" i="18"/>
  <c r="U18" i="18"/>
  <c r="U17" i="18"/>
  <c r="U16" i="18"/>
  <c r="U15" i="18"/>
  <c r="U14" i="18"/>
  <c r="U13" i="18"/>
  <c r="U12" i="18"/>
  <c r="U11" i="18"/>
  <c r="U10" i="18"/>
  <c r="U9" i="18"/>
  <c r="U8" i="18"/>
  <c r="U7" i="18"/>
  <c r="T42" i="18"/>
  <c r="T41" i="18"/>
  <c r="T40" i="18"/>
  <c r="T39" i="18"/>
  <c r="T38" i="18"/>
  <c r="T37" i="18"/>
  <c r="T36" i="18"/>
  <c r="T35" i="18"/>
  <c r="T34" i="18"/>
  <c r="T33" i="18"/>
  <c r="T32" i="18"/>
  <c r="T31" i="18"/>
  <c r="T30" i="18"/>
  <c r="T29" i="18"/>
  <c r="T28" i="18"/>
  <c r="T27" i="18"/>
  <c r="T26" i="18"/>
  <c r="T25" i="18"/>
  <c r="T24" i="18"/>
  <c r="T23" i="18"/>
  <c r="T22" i="18"/>
  <c r="T21" i="18"/>
  <c r="T20" i="18"/>
  <c r="T19" i="18"/>
  <c r="T18" i="18"/>
  <c r="T17" i="18"/>
  <c r="T16" i="18"/>
  <c r="T15" i="18"/>
  <c r="T14" i="18"/>
  <c r="T13" i="18"/>
  <c r="T12" i="18"/>
  <c r="T11" i="18"/>
  <c r="T10" i="18"/>
  <c r="T9" i="18"/>
  <c r="T8" i="18"/>
  <c r="T7" i="18"/>
  <c r="S42" i="18"/>
  <c r="S41" i="18"/>
  <c r="S40" i="18"/>
  <c r="S39" i="18"/>
  <c r="S38" i="18"/>
  <c r="S37" i="18"/>
  <c r="S36" i="18"/>
  <c r="S35" i="18"/>
  <c r="S34" i="18"/>
  <c r="S33" i="18"/>
  <c r="S32" i="18"/>
  <c r="S31" i="18"/>
  <c r="S30" i="18"/>
  <c r="S29" i="18"/>
  <c r="S28" i="18"/>
  <c r="S27" i="18"/>
  <c r="S26" i="18"/>
  <c r="S25" i="18"/>
  <c r="S24" i="18"/>
  <c r="S23" i="18"/>
  <c r="S22" i="18"/>
  <c r="S21" i="18"/>
  <c r="S20" i="18"/>
  <c r="S19" i="18"/>
  <c r="S18" i="18"/>
  <c r="S17" i="18"/>
  <c r="S16" i="18"/>
  <c r="S15" i="18"/>
  <c r="S14" i="18"/>
  <c r="S13" i="18"/>
  <c r="S12" i="18"/>
  <c r="S11" i="18"/>
  <c r="S10" i="18"/>
  <c r="S9" i="18"/>
  <c r="S8" i="18"/>
  <c r="S7" i="18"/>
  <c r="R42" i="18"/>
  <c r="R41" i="18"/>
  <c r="R40" i="18"/>
  <c r="R39" i="18"/>
  <c r="R38" i="18"/>
  <c r="R37" i="18"/>
  <c r="R36" i="18"/>
  <c r="R35" i="18"/>
  <c r="R34" i="18"/>
  <c r="R33" i="18"/>
  <c r="R32" i="18"/>
  <c r="R31" i="18"/>
  <c r="R30" i="18"/>
  <c r="R29" i="18"/>
  <c r="R28" i="18"/>
  <c r="R27" i="18"/>
  <c r="R26" i="18"/>
  <c r="R25" i="18"/>
  <c r="R24" i="18"/>
  <c r="R23" i="18"/>
  <c r="R22" i="18"/>
  <c r="R21" i="18"/>
  <c r="R20" i="18"/>
  <c r="R19" i="18"/>
  <c r="R18" i="18"/>
  <c r="R17" i="18"/>
  <c r="R16" i="18"/>
  <c r="R15" i="18"/>
  <c r="R14" i="18"/>
  <c r="R13" i="18"/>
  <c r="R12" i="18"/>
  <c r="R11" i="18"/>
  <c r="R10" i="18"/>
  <c r="R9" i="18"/>
  <c r="R8" i="18"/>
  <c r="R7" i="18"/>
  <c r="Q42" i="18"/>
  <c r="Q41" i="18"/>
  <c r="Q40" i="18"/>
  <c r="Q39" i="18"/>
  <c r="Q38" i="18"/>
  <c r="Q37" i="18"/>
  <c r="Q36" i="18"/>
  <c r="Q35" i="18"/>
  <c r="Q34" i="18"/>
  <c r="Q33" i="18"/>
  <c r="Q32" i="18"/>
  <c r="Q31" i="18"/>
  <c r="Q30" i="18"/>
  <c r="Q29" i="18"/>
  <c r="Q28" i="18"/>
  <c r="Q27" i="18"/>
  <c r="Q26" i="18"/>
  <c r="Q25" i="18"/>
  <c r="Q24" i="18"/>
  <c r="Q23" i="18"/>
  <c r="Q22" i="18"/>
  <c r="Q21" i="18"/>
  <c r="Q20" i="18"/>
  <c r="Q19" i="18"/>
  <c r="Q18" i="18"/>
  <c r="Q17" i="18"/>
  <c r="Q16" i="18"/>
  <c r="Q15" i="18"/>
  <c r="Q14" i="18"/>
  <c r="Q13" i="18"/>
  <c r="Q12" i="18"/>
  <c r="Q11" i="18"/>
  <c r="Q10" i="18"/>
  <c r="Q9" i="18"/>
  <c r="Q8" i="18"/>
  <c r="Q7" i="18"/>
  <c r="L17" i="6" l="1"/>
  <c r="L16" i="6"/>
  <c r="L15" i="6"/>
  <c r="L14" i="6"/>
  <c r="L13" i="6"/>
  <c r="L12" i="6"/>
  <c r="L11" i="6"/>
  <c r="L10" i="6"/>
  <c r="L9" i="6"/>
  <c r="L8" i="6"/>
  <c r="L7" i="6"/>
  <c r="L6" i="6"/>
  <c r="L5" i="6"/>
  <c r="M17" i="6"/>
  <c r="M16" i="6"/>
  <c r="M15" i="6"/>
  <c r="M14" i="6"/>
  <c r="M13" i="6"/>
  <c r="M12" i="6"/>
  <c r="M11" i="6"/>
  <c r="M10" i="6"/>
  <c r="M7" i="6"/>
  <c r="M9" i="6"/>
  <c r="M8" i="6"/>
  <c r="L18" i="6"/>
  <c r="M18" i="6" l="1"/>
  <c r="M5" i="6" l="1"/>
  <c r="M6" i="6"/>
</calcChain>
</file>

<file path=xl/sharedStrings.xml><?xml version="1.0" encoding="utf-8"?>
<sst xmlns="http://schemas.openxmlformats.org/spreadsheetml/2006/main" count="3381" uniqueCount="1826">
  <si>
    <t>Penarikan Data (Update) dilakukan secara rutin 8 jam sekali</t>
  </si>
  <si>
    <t>No</t>
  </si>
  <si>
    <t>Kabupaten/Kota</t>
  </si>
  <si>
    <t>%</t>
  </si>
  <si>
    <t>KOTA MAGELANG</t>
  </si>
  <si>
    <t>KOTA SURAKARTA</t>
  </si>
  <si>
    <t>KOTA SALATIGA</t>
  </si>
  <si>
    <t>KOTA SEMARANG</t>
  </si>
  <si>
    <t>KOTA PEKALONGAN</t>
  </si>
  <si>
    <t>KOTA TEGAL</t>
  </si>
  <si>
    <t>Remaja putri mendapat skrining anemia</t>
  </si>
  <si>
    <t>On track</t>
  </si>
  <si>
    <t>Remaja putri mengonsumsi TTD (tablet tambah darah)</t>
  </si>
  <si>
    <t>Ibu hamil ANC minimal 6x*</t>
  </si>
  <si>
    <t>Ibu hamil mengonsumsi suplementasi gizi (TTD/MMS) minimal 180 tablet selama kehamilan**</t>
  </si>
  <si>
    <t>Perlu percepatan</t>
  </si>
  <si>
    <t>Pemantauan pertumbuhan balita</t>
  </si>
  <si>
    <t>Pemantauan pertumbuhan dan perkembangan balita</t>
  </si>
  <si>
    <t>Bayi usia kurang dari 6 bulan mendapat ASI eksklusif</t>
  </si>
  <si>
    <t>Anak 6-23 bulan mendapat MP-ASI</t>
  </si>
  <si>
    <t>Baduta memperoleh imunisasi lengkap</t>
  </si>
  <si>
    <t>Kab/Kota yang telah terverifikasi 100% Kepala Keluarga stop Buang Air Besar Sembarangan (BABS)***</t>
  </si>
  <si>
    <t>8653 desa</t>
  </si>
  <si>
    <t>Capaian TW 1</t>
  </si>
  <si>
    <t>Status</t>
  </si>
  <si>
    <t>Capaian TW 2</t>
  </si>
  <si>
    <t>Capaian TW 3</t>
  </si>
  <si>
    <t>Capaian TW 4</t>
  </si>
  <si>
    <t>Intervensi Percepatan Penurunan Stunting</t>
  </si>
  <si>
    <t>6a</t>
  </si>
  <si>
    <t>6b</t>
  </si>
  <si>
    <t>9a</t>
  </si>
  <si>
    <t>9b</t>
  </si>
  <si>
    <t>9c</t>
  </si>
  <si>
    <t>9d</t>
  </si>
  <si>
    <t>Intervensi untuk remaja putri dan 
ibu hamil (sebelum kelahiran)</t>
  </si>
  <si>
    <t>Intervensi untuk balita (setelah kelahiran)</t>
  </si>
  <si>
    <t>Intervensi lintas siklus hidup</t>
  </si>
  <si>
    <t>Target 2026</t>
  </si>
  <si>
    <r>
      <t xml:space="preserve">Ibu hamil KEK </t>
    </r>
    <r>
      <rPr>
        <sz val="11"/>
        <color rgb="FF000000"/>
        <rFont val="Arial"/>
        <family val="2"/>
      </rPr>
      <t>mendapat tambahan asupan gizi</t>
    </r>
  </si>
  <si>
    <r>
      <t>Balita</t>
    </r>
    <r>
      <rPr>
        <sz val="11"/>
        <color rgb="FF000000"/>
        <rFont val="Arial"/>
        <family val="2"/>
      </rPr>
      <t xml:space="preserve"> </t>
    </r>
    <r>
      <rPr>
        <b/>
        <sz val="11"/>
        <color rgb="FF000000"/>
        <rFont val="Arial"/>
        <family val="2"/>
      </rPr>
      <t xml:space="preserve">berat badan tidak naik (T) </t>
    </r>
    <r>
      <rPr>
        <sz val="11"/>
        <color rgb="FF000000"/>
        <rFont val="Arial"/>
        <family val="2"/>
      </rPr>
      <t>mendapat tambahan asupan gizi</t>
    </r>
  </si>
  <si>
    <r>
      <t>Balita</t>
    </r>
    <r>
      <rPr>
        <sz val="11"/>
        <color rgb="FF000000"/>
        <rFont val="Arial"/>
        <family val="2"/>
      </rPr>
      <t xml:space="preserve"> </t>
    </r>
    <r>
      <rPr>
        <b/>
        <sz val="11"/>
        <color rgb="FF000000"/>
        <rFont val="Arial"/>
        <family val="2"/>
      </rPr>
      <t xml:space="preserve">berat badan kurang </t>
    </r>
    <r>
      <rPr>
        <sz val="11"/>
        <color rgb="FF000000"/>
        <rFont val="Arial"/>
        <family val="2"/>
      </rPr>
      <t>mendapat tambahan asupan gizi</t>
    </r>
  </si>
  <si>
    <r>
      <t>Balita</t>
    </r>
    <r>
      <rPr>
        <sz val="11"/>
        <color rgb="FF000000"/>
        <rFont val="Arial"/>
        <family val="2"/>
      </rPr>
      <t xml:space="preserve"> </t>
    </r>
    <r>
      <rPr>
        <b/>
        <sz val="11"/>
        <color rgb="FF000000"/>
        <rFont val="Arial"/>
        <family val="2"/>
      </rPr>
      <t xml:space="preserve">gizi kurang </t>
    </r>
    <r>
      <rPr>
        <sz val="11"/>
        <color rgb="FF000000"/>
        <rFont val="Arial"/>
        <family val="2"/>
      </rPr>
      <t>mendapat tambahan asupan gizi</t>
    </r>
  </si>
  <si>
    <r>
      <t>Balita</t>
    </r>
    <r>
      <rPr>
        <sz val="11"/>
        <color rgb="FF000000"/>
        <rFont val="Arial"/>
        <family val="2"/>
      </rPr>
      <t xml:space="preserve"> </t>
    </r>
    <r>
      <rPr>
        <b/>
        <sz val="11"/>
        <color rgb="FF000000"/>
        <rFont val="Arial"/>
        <family val="2"/>
      </rPr>
      <t xml:space="preserve">gizi buruk </t>
    </r>
    <r>
      <rPr>
        <sz val="11"/>
        <color rgb="FF000000"/>
        <rFont val="Arial"/>
        <family val="2"/>
      </rPr>
      <t xml:space="preserve">mendapat pelayanan tata laksana gizi buruk </t>
    </r>
  </si>
  <si>
    <t>PURBALINGGA</t>
  </si>
  <si>
    <t>Target 2025</t>
  </si>
  <si>
    <t>Capaian 2025</t>
  </si>
  <si>
    <t>JAWA TENGAH</t>
  </si>
  <si>
    <t>CILACAP</t>
  </si>
  <si>
    <t>BANYUMAS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</si>
  <si>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</si>
  <si>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</si>
  <si>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</si>
  <si>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</si>
  <si>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</si>
  <si>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</si>
  <si>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</si>
  <si>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</si>
  <si>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</si>
  <si>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</si>
  <si>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</si>
  <si>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</si>
  <si>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</si>
  <si>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</si>
  <si>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</si>
  <si>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</si>
  <si>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</si>
  <si>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</si>
  <si>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</si>
  <si>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</si>
  <si>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</si>
  <si>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</si>
  <si>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</si>
  <si>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</si>
  <si>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</si>
  <si>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</si>
  <si>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Data Tarik : 2026-07-01 04:45:53</t>
  </si>
  <si>
    <t>tahunan 52, tw 2: 26</t>
  </si>
  <si>
    <t>Jumlah ibu hamil KEK Konsumsi MT</t>
  </si>
  <si>
    <t>Jumlah balita dipantau tumbang</t>
  </si>
  <si>
    <t>Jumlah balita dipantau tumbang (manual)</t>
  </si>
  <si>
    <t xml:space="preserve">Jumlah  gizi kurang </t>
  </si>
  <si>
    <t>Jumlah  gizi kurang dapat MT</t>
  </si>
  <si>
    <t xml:space="preserve">Jumlah BB kurang </t>
  </si>
  <si>
    <t>Jumlah BB kurang dapat MT</t>
  </si>
  <si>
    <t xml:space="preserve">Jumlah BB Tidak Naik (T) </t>
  </si>
  <si>
    <t>Jumlah BB Tidak Naik (T) dapat MT</t>
  </si>
  <si>
    <t xml:space="preserve">Jumlah kasus gizi buruk </t>
  </si>
  <si>
    <t>Sasaran IDL</t>
  </si>
  <si>
    <t xml:space="preserve"> MPASI </t>
  </si>
  <si>
    <t xml:space="preserve">ASI Eksklusif </t>
  </si>
  <si>
    <t>TARGET</t>
  </si>
  <si>
    <t>Jumlah</t>
  </si>
  <si>
    <t>Rematri  Konsumsi TTD</t>
  </si>
  <si>
    <t xml:space="preserve">Rematri skrining anemia </t>
  </si>
  <si>
    <t xml:space="preserve">Rematri anemia </t>
  </si>
  <si>
    <t xml:space="preserve"> ibu hamil ANC 6x</t>
  </si>
  <si>
    <t xml:space="preserve"> ibu hamil Anemia</t>
  </si>
  <si>
    <t>Ibu hamil Konsumsi TTD/MMS</t>
  </si>
  <si>
    <t xml:space="preserve">ibu hamil KEK </t>
  </si>
  <si>
    <t>≤25</t>
  </si>
  <si>
    <t>≤13</t>
  </si>
  <si>
    <t>Balita dipantau pertumbuhan (D/S)</t>
  </si>
  <si>
    <t>Jumlah Kasus Gizi Buruk  mendapat tatalaksana</t>
  </si>
  <si>
    <t>Baduta IDL</t>
  </si>
  <si>
    <t>% Rematri  Konsumsi TTD</t>
  </si>
  <si>
    <t xml:space="preserve">% Rematri skrining anemia </t>
  </si>
  <si>
    <t xml:space="preserve">% Rematri anemia </t>
  </si>
  <si>
    <t>% D/S</t>
  </si>
  <si>
    <t>% tumbang</t>
  </si>
  <si>
    <t>% ASI</t>
  </si>
  <si>
    <t>% MPASI</t>
  </si>
  <si>
    <t>% gizi kurang dapat MT</t>
  </si>
  <si>
    <t>% BB kurang dapat MT</t>
  </si>
  <si>
    <t>% BB Tidak Naik (T) dapat MT</t>
  </si>
  <si>
    <t>% IDL</t>
  </si>
  <si>
    <t>% PMT</t>
  </si>
  <si>
    <t>% ANC</t>
  </si>
  <si>
    <t>≤23</t>
  </si>
  <si>
    <t>BBLR</t>
  </si>
  <si>
    <t xml:space="preserve">Balita </t>
  </si>
  <si>
    <t>BB Kurang</t>
  </si>
  <si>
    <t>Gizi Kurang</t>
  </si>
  <si>
    <t>Balita Gizi Buruk</t>
  </si>
  <si>
    <t>Balita Stunting</t>
  </si>
  <si>
    <t>Insiden Stunting</t>
  </si>
  <si>
    <t xml:space="preserve">Bumil </t>
  </si>
  <si>
    <t>KEK / Risiko KEK</t>
  </si>
  <si>
    <t>Bumil Anemia</t>
  </si>
  <si>
    <t>Rematri Anemia</t>
  </si>
  <si>
    <t xml:space="preserve">BB Tidak Naik </t>
  </si>
  <si>
    <t>Prev Stunting SSGI 2024</t>
  </si>
  <si>
    <t>15,6</t>
  </si>
  <si>
    <t>19,6</t>
  </si>
  <si>
    <t>22,3</t>
  </si>
  <si>
    <t>20,6</t>
  </si>
  <si>
    <t>18,0</t>
  </si>
  <si>
    <t>14,9</t>
  </si>
  <si>
    <t>23,9</t>
  </si>
  <si>
    <t>19,3</t>
  </si>
  <si>
    <t>24,5</t>
  </si>
  <si>
    <t>20,8</t>
  </si>
  <si>
    <t>16,8</t>
  </si>
  <si>
    <t>15,1</t>
  </si>
  <si>
    <t>17,4</t>
  </si>
  <si>
    <t>15,8</t>
  </si>
  <si>
    <t>25,6</t>
  </si>
  <si>
    <t>21,7</t>
  </si>
  <si>
    <t>16,5</t>
  </si>
  <si>
    <t>13,2</t>
  </si>
  <si>
    <t>10,0</t>
  </si>
  <si>
    <t>14,5</t>
  </si>
  <si>
    <t>27,3</t>
  </si>
  <si>
    <t>19,2</t>
  </si>
  <si>
    <t>20,7</t>
  </si>
  <si>
    <t>19,5</t>
  </si>
  <si>
    <t>19,1</t>
  </si>
  <si>
    <t>15,9</t>
  </si>
  <si>
    <t>23,1</t>
  </si>
  <si>
    <t>15,3</t>
  </si>
  <si>
    <t>16,2</t>
  </si>
  <si>
    <t>14,0</t>
  </si>
  <si>
    <t>11,2</t>
  </si>
  <si>
    <t>17,1</t>
  </si>
  <si>
    <t>% ANC 6x</t>
  </si>
  <si>
    <t>% TTD/MMS</t>
  </si>
  <si>
    <t>% Bumil PMT</t>
  </si>
  <si>
    <t>Total Capaian Intervensi</t>
  </si>
  <si>
    <t>≤5,5%</t>
  </si>
  <si>
    <t>≤14 %</t>
  </si>
  <si>
    <t>≤14%</t>
  </si>
  <si>
    <t>Wasting ≤7,5 %</t>
  </si>
  <si>
    <t>≤40%</t>
  </si>
  <si>
    <t>≤23%</t>
  </si>
  <si>
    <t>≤25%</t>
  </si>
  <si>
    <t>≤13%</t>
  </si>
  <si>
    <t xml:space="preserve">Pagu BOK PMT Lokal </t>
  </si>
  <si>
    <t>Tahun 2026</t>
  </si>
  <si>
    <t>Jumlah Puskesmas</t>
  </si>
  <si>
    <t>Puskesmas memiliki pagu BOK PMT lokal</t>
  </si>
  <si>
    <t>Puskesmas buat RPD PMT Lokal</t>
  </si>
  <si>
    <t xml:space="preserve">Realisasi BOK PMT Lokal </t>
  </si>
  <si>
    <t>Pembekalan/</t>
  </si>
  <si>
    <t>Evaluasi</t>
  </si>
  <si>
    <t xml:space="preserve">PMT </t>
  </si>
  <si>
    <t>Ibu Hamil</t>
  </si>
  <si>
    <t>Balita</t>
  </si>
  <si>
    <t>Pembekalan/Evaluasi</t>
  </si>
  <si>
    <t>Provinsi …..</t>
  </si>
  <si>
    <t>Rp</t>
  </si>
  <si>
    <t>Kab</t>
  </si>
  <si>
    <t>dst</t>
  </si>
  <si>
    <t xml:space="preserve">% skrining anemia </t>
  </si>
  <si>
    <t>% Konsumsi TTD</t>
  </si>
  <si>
    <t>% bumil Anemia</t>
  </si>
  <si>
    <t>% Bumil KEK</t>
  </si>
  <si>
    <t>% talak gibur</t>
  </si>
  <si>
    <t>%TTD/MMS</t>
  </si>
  <si>
    <t>% Talak gibur</t>
  </si>
  <si>
    <t>Persentase anemia pada ibu hamil</t>
  </si>
  <si>
    <t>Persentase ibu hamil anemia ringan yang mendapat terapi TTD oral (Tatalaksana Anemia)</t>
  </si>
  <si>
    <t>Persentase ibu hamil anemia sedang dan berat yang mendapatkan tata laksana di tingkat lanjutan (Tatalaksana Anemia)</t>
  </si>
  <si>
    <t>Persentase ibu hamil mendapat suplementasi gizi</t>
  </si>
  <si>
    <t>Persentase ibu hamil kurang energi kronik</t>
  </si>
  <si>
    <t>Persentase ibu hamil KEK mendapat makanan tambahan</t>
  </si>
  <si>
    <t>Laporan Pemeriksaan ANC</t>
  </si>
  <si>
    <t>Jumlah ibu hamil anemia sampai TW ini</t>
  </si>
  <si>
    <t>Jumlah ibu hamil anemia ringan yang mendapat TTD oral sampai TW ini</t>
  </si>
  <si>
    <t>Jumlah ibu hamil anemia sedang dan berat yang mendapatkan tata laksana di tingkat lanjutan sampai TW ini</t>
  </si>
  <si>
    <t>Jumlah sasaran ibu hamil</t>
  </si>
  <si>
    <t>Jumlah ibu hamil mendapat minimal 180 tablet MMS sampai TW ini</t>
  </si>
  <si>
    <t>Jumlah ibu hamil mendapat minimal 180 tablet TTD sampai TW ini</t>
  </si>
  <si>
    <t>Jumlah ibu hamil mendapat suplementasi gizi (minimal 180 tablet TTD dan MMS) sampai TW ini</t>
  </si>
  <si>
    <t>Jumlah sasaran ibu bersalin</t>
  </si>
  <si>
    <t>Jumlah ibu hamil mengonsumsi minimal 180 tablet MMS sampai TW ini</t>
  </si>
  <si>
    <t>Jumlah ibu hamil mengonsumsi minimal 180 tablet TTD sampai TW ini</t>
  </si>
  <si>
    <t>Jumlah ibu hamil mengonsumsi suplementasi gizi (minimal 180 tablet TTD dan MMS) sampai TW ini</t>
  </si>
  <si>
    <t>Jumlah ibu hamil diukur LILA dan/atau IMT sampai TW ini</t>
  </si>
  <si>
    <t>Jumlah ibu hamil risiko KEK/KEK sampai TW ini</t>
  </si>
  <si>
    <t>Jumlah sasaran ibu hamil KEK ditatalaksana sampai TW ini</t>
  </si>
  <si>
    <t>Jumlah ibu hamil KEK mendapat makanan tambahan sampai TW ini</t>
  </si>
  <si>
    <t>Jumlah ibu hamil sampai TW ini</t>
  </si>
  <si>
    <t>Jumlah ibu bersalin sampai TW ini</t>
  </si>
  <si>
    <t>Jumlah ibu hamil yang mendapat pelayanan antenatal pertama (K1 akses) sampai TW ini</t>
  </si>
  <si>
    <t>Jumlah ibu hamil yang mendapat pelayanan antenatal pertama di Trimester 1 (K1 murni) sampai TW ini</t>
  </si>
  <si>
    <t>Jumlah ibu hamil ANC Trimester 1 dengan Dokter sampai TW ini</t>
  </si>
  <si>
    <t>Jumlah ibu hamil ANC Trimester 1 dengan USG sampai TW ini</t>
  </si>
  <si>
    <t>Jumlah ibu hamil ANC Trimester 3 dengan Dokter sampai TW ini</t>
  </si>
  <si>
    <t>Jumlah ibu hamil ANC Trimester 3 dengan USG sampai TW ini</t>
  </si>
  <si>
    <t>Jumlah ibu bersalin K6 sampai TW ini</t>
  </si>
  <si>
    <t>Jumlah ibu bersalin yang mendapat pemeriksaan 12T selama kehamilan sampai TW ini</t>
  </si>
  <si>
    <t>Jumlah ibu hamil periksa Hb sampai TW ini</t>
  </si>
  <si>
    <t>Anemia ringan (10-10.9 g/dl)</t>
  </si>
  <si>
    <t>Anemia sedang (7-9.9 g/dl)</t>
  </si>
  <si>
    <t>Anemia berat (&lt; 7 g/dl)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</si>
  <si>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</si>
  <si>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</si>
  <si>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</si>
  <si>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</si>
  <si>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</si>
  <si>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</si>
  <si>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</si>
  <si>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</si>
  <si>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</si>
  <si>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</si>
  <si>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</si>
  <si>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</si>
  <si>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</si>
  <si>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</si>
  <si>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</si>
  <si>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</si>
  <si>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</si>
  <si>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</si>
  <si>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</si>
  <si>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</si>
  <si>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</si>
  <si>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</si>
  <si>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</si>
  <si>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</si>
  <si>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</si>
  <si>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</si>
  <si>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</si>
  <si>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</si>
  <si>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</si>
  <si>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</si>
  <si>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</si>
  <si>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</si>
  <si>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</si>
  <si>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</si>
  <si>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</si>
  <si>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</si>
  <si>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</si>
  <si>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</si>
  <si>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KABUPATEN CILACAP</t>
  </si>
  <si>
    <t>5.32</t>
  </si>
  <si>
    <t>KABUPATEN BANYUMAS</t>
  </si>
  <si>
    <t>KABUPATEN PURBALINGGA</t>
  </si>
  <si>
    <t>KABUPATEN BANJARNEGARA</t>
  </si>
  <si>
    <t>0.52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</si>
  <si>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</si>
  <si>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</si>
  <si>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</si>
  <si>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</si>
  <si>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</si>
  <si>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</si>
  <si>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</si>
  <si>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56.91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</si>
  <si>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</si>
  <si>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</si>
  <si>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</si>
  <si>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</si>
  <si>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</si>
  <si>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</si>
  <si>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10.2</t>
  </si>
  <si>
    <t>KABUPATEN PATI</t>
  </si>
  <si>
    <t>KABUPATEN KUDUS</t>
  </si>
  <si>
    <t>KABUPATEN JEPARA</t>
  </si>
  <si>
    <t>57.14</t>
  </si>
  <si>
    <t>3.57</t>
  </si>
  <si>
    <t>KABUPATEN DEMAK</t>
  </si>
  <si>
    <t>1.11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</si>
  <si>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</si>
  <si>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</si>
  <si>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</si>
  <si>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</si>
  <si>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</si>
  <si>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</si>
  <si>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56.55</t>
  </si>
  <si>
    <t>KABUPATEN TEGAL</t>
  </si>
  <si>
    <t>KABUPATEN BREBES</t>
  </si>
  <si>
    <t>0.43</t>
  </si>
  <si>
    <t>28.57</t>
  </si>
  <si>
    <t>JUMLAH</t>
  </si>
  <si>
    <t>IDL</t>
  </si>
  <si>
    <t>IBL</t>
  </si>
  <si>
    <t>Provinsi (ID)</t>
  </si>
  <si>
    <t>Kab/Kota (ID)</t>
  </si>
  <si>
    <t>Sasaran</t>
  </si>
  <si>
    <t xml:space="preserve">Cakupan </t>
  </si>
  <si>
    <t>(%) Capaian</t>
  </si>
  <si>
    <t>33 - JAWA TENGAH</t>
  </si>
  <si>
    <t>3301 - KAB. CILACAP</t>
  </si>
  <si>
    <t>3302 - KAB. BANYUMAS</t>
  </si>
  <si>
    <t>3303 - KAB. PURBALINGGA</t>
  </si>
  <si>
    <t>3304 - KAB. BANJARNEGARA</t>
  </si>
  <si>
    <t>3305 - KAB. KEBUMEN</t>
  </si>
  <si>
    <t>3306 - KAB. PURWOREJO</t>
  </si>
  <si>
    <t>3307 - KAB. WONOSOBO</t>
  </si>
  <si>
    <t>3308 - KAB. MAGELANG</t>
  </si>
  <si>
    <t>3309 - KAB. BOYOLALI</t>
  </si>
  <si>
    <t>3310 - KAB. KLATEN</t>
  </si>
  <si>
    <t>3311 - KAB. SUKOHARJO</t>
  </si>
  <si>
    <t>3312 - KAB. WONOGIRI</t>
  </si>
  <si>
    <t>3313 - KAB. KARANGANYAR</t>
  </si>
  <si>
    <t>3314 - KAB. SRAGEN</t>
  </si>
  <si>
    <t>3315 - KAB. GROBOGAN</t>
  </si>
  <si>
    <t>3316 - KAB. BLORA</t>
  </si>
  <si>
    <t>3317 - KAB. REMBANG</t>
  </si>
  <si>
    <t>3318 - KAB. PATI</t>
  </si>
  <si>
    <t>3319 - KAB. KUDUS</t>
  </si>
  <si>
    <t>3320 - KAB. JEPARA</t>
  </si>
  <si>
    <t>3321 - KAB. DEMAK</t>
  </si>
  <si>
    <t>3322 - KAB. SEMARANG</t>
  </si>
  <si>
    <t>3323 - KAB. TEMANGGUNG</t>
  </si>
  <si>
    <t>3324 - KAB. KENDAL</t>
  </si>
  <si>
    <t>3325 - KAB. BATANG</t>
  </si>
  <si>
    <t>3326 - KAB. PEKALONGAN</t>
  </si>
  <si>
    <t>3327 - KAB. PEMALANG</t>
  </si>
  <si>
    <t>3328 - KAB. TEGAL</t>
  </si>
  <si>
    <t>3329 - KAB. BREBES</t>
  </si>
  <si>
    <t>3371 - KOTA MAGELANG</t>
  </si>
  <si>
    <t>3372 - KOTA SURAKARTA</t>
  </si>
  <si>
    <t>3373 - KOTA SALATIGA</t>
  </si>
  <si>
    <t>3374 - KOTA SEMARANG</t>
  </si>
  <si>
    <t>3375 - KOTA PEKALONGAN</t>
  </si>
  <si>
    <t>3376 - KOTA TEGAL</t>
  </si>
  <si>
    <t>Data Tarik : 2026-10-01 04:45:42</t>
  </si>
  <si>
    <t>Jumlah sasaran remaja putri</t>
  </si>
  <si>
    <t>Persentase remaja putri mendapatkan dan mengonsumsi TTD</t>
  </si>
  <si>
    <t>Persentase remaja putri skrining anemia</t>
  </si>
  <si>
    <t>Persentase remaja putri teridentifikasi anemia</t>
  </si>
  <si>
    <t>Tatalaksana rematri anemia</t>
  </si>
  <si>
    <t>Jumlah remaja putri di satuan pendidikan (SMP/MTs/Pesantren/sederajat dan SMA/SMK/MAK/Pesantren/sederajat) mendapat TTD sesuai standar</t>
  </si>
  <si>
    <t>Jumlah remaja putri di satuan pendidikan (SMP/MTs/Pesantren/sederajat dan SMA/SMK/MAK/Pesantren/sederajat) mengonsumsi TTD sesuai standar</t>
  </si>
  <si>
    <t>Jumlah remaja putri di satuan pendidikan (SMP/MTs/Pesantren/sederajat dan SMA/SMK/MAK/Pesantren/sederajat) mendapat TTD sampai TW ini</t>
  </si>
  <si>
    <t>Jumlah remaja putri di satuan pendidikan (SMP/MTs/Pesantren/sederajat dan SMA/SMK/MAK/Pesantren/sederajat) mengonsumsi TTD sampai TW ini</t>
  </si>
  <si>
    <t>Jumlah remaja putri kelas 7 di satuan pendidikan (SMP/MTs/Pesantren sederajat) sampai TW ini</t>
  </si>
  <si>
    <t>Jumlah remaja putri kelas 7 di satuan pendidikan (SMP/MTs/Pesantren sederajat) yang skrining anemia sampai TW ini</t>
  </si>
  <si>
    <t>Jumlah remaja putri kelas 10 di satuan pendidikan (SMA/SMK/MA/MAK/Pesantren sederajat) sampai TW ini</t>
  </si>
  <si>
    <t>Jumlah remaja putri kelas 10 di satuan pendidikan (SMA/SMK/MA/MAK/Pesantren sederajat) yang skrining anemia sampai TW ini</t>
  </si>
  <si>
    <t>Jumlah remaja putri kelas 7 dan 10 di satuan pendidikan (SMP/MTs/Pesantren/sederajat dan SMA/SMK/MAK/Pesantren/sederajat) sampai TW ini</t>
  </si>
  <si>
    <t>Jumlah remaja putri kelas 7 dan 10 di satuan pendidikan (SMP/MTs/Pesantren/sederajat dan SMA/SMK/MAK/Pesantren/sederajat) yang skrining anemia sampai TW ini</t>
  </si>
  <si>
    <t>Jumlah remaja putri kelas 7 di satuan pendidikan (SMP/MTs/Pesantren sederajat) yang teridentifikasi anemia sampai TW ini</t>
  </si>
  <si>
    <t>Jumlah remaja putri kelas 10 di satuan pendidikan (SMA/SMK/MA/MAK/Pesantren sederajat) yang teridentifikasi anemia sampai TW ini</t>
  </si>
  <si>
    <t>Jumlah remaja putri kelas 7 dan 10 di satuan pendidikan yang teridentifikasi anemia sampai TW ini</t>
  </si>
  <si>
    <t>Jumlah Rematri kelas 7 dan 10 di satuan pendidikan (SMP/MTs/Pesantren/sederajat dan SMA/SMK/MAK/Pesantren/sederajat) mendapatkan tatalaksana anemia sampai TW ini</t>
  </si>
  <si>
    <t>&lt; 26 tablet</t>
  </si>
  <si>
    <t>&gt;= 26 tablet</t>
  </si>
  <si>
    <t>Anemia ringan (11 - 11.9 g/dl)</t>
  </si>
  <si>
    <t>Anemia sedang (8 - 10.9 g/dl)</t>
  </si>
  <si>
    <t>Anemia berat (&lt; 8 g/dl)</t>
  </si>
  <si>
    <t>Total</t>
  </si>
  <si>
    <t>94.7</t>
  </si>
  <si>
    <t>95.07</t>
  </si>
  <si>
    <t>14.42</t>
  </si>
  <si>
    <t>18.56</t>
  </si>
  <si>
    <t>94.91</t>
  </si>
  <si>
    <t>24.46</t>
  </si>
  <si>
    <t>24.92</t>
  </si>
  <si>
    <t>98.33</t>
  </si>
  <si>
    <t>99.94</t>
  </si>
  <si>
    <t>98.84</t>
  </si>
  <si>
    <t>99.44</t>
  </si>
  <si>
    <t>22.54</t>
  </si>
  <si>
    <t>28.76</t>
  </si>
  <si>
    <t>99.65</t>
  </si>
  <si>
    <t>97.49</t>
  </si>
  <si>
    <t>94.72</t>
  </si>
  <si>
    <t>31.85</t>
  </si>
  <si>
    <t>34.93</t>
  </si>
  <si>
    <t>99.34</t>
  </si>
  <si>
    <t>92.47</t>
  </si>
  <si>
    <t>89.19</t>
  </si>
  <si>
    <t>91.7</t>
  </si>
  <si>
    <t>16.56</t>
  </si>
  <si>
    <t>15.51</t>
  </si>
  <si>
    <t>97.62</t>
  </si>
  <si>
    <t>87.31</t>
  </si>
  <si>
    <t>98.42</t>
  </si>
  <si>
    <t>98.88</t>
  </si>
  <si>
    <t>13.66</t>
  </si>
  <si>
    <t>15.14</t>
  </si>
  <si>
    <t>99.79</t>
  </si>
  <si>
    <t>99.49</t>
  </si>
  <si>
    <t>94.54</t>
  </si>
  <si>
    <t>9.7</t>
  </si>
  <si>
    <t>13.74</t>
  </si>
  <si>
    <t>97.76</t>
  </si>
  <si>
    <t>87.34</t>
  </si>
  <si>
    <t>90.28</t>
  </si>
  <si>
    <t>82.29</t>
  </si>
  <si>
    <t>39.14</t>
  </si>
  <si>
    <t>40.28</t>
  </si>
  <si>
    <t>93.17</t>
  </si>
  <si>
    <t>99.82</t>
  </si>
  <si>
    <t>99.99</t>
  </si>
  <si>
    <t>101.55</t>
  </si>
  <si>
    <t>16.41</t>
  </si>
  <si>
    <t>11.64</t>
  </si>
  <si>
    <t>99.55</t>
  </si>
  <si>
    <t>93.15</t>
  </si>
  <si>
    <t>98.68</t>
  </si>
  <si>
    <t>99.06</t>
  </si>
  <si>
    <t>23.37</t>
  </si>
  <si>
    <t>18.75</t>
  </si>
  <si>
    <t>90.2</t>
  </si>
  <si>
    <t>96.78</t>
  </si>
  <si>
    <t>94.16</t>
  </si>
  <si>
    <t>29.14</t>
  </si>
  <si>
    <t>29.63</t>
  </si>
  <si>
    <t>98.2</t>
  </si>
  <si>
    <t>90.09</t>
  </si>
  <si>
    <t>99.19</t>
  </si>
  <si>
    <t>10.54</t>
  </si>
  <si>
    <t>9.52</t>
  </si>
  <si>
    <t>93.19</t>
  </si>
  <si>
    <t>97.91</t>
  </si>
  <si>
    <t>95.71</t>
  </si>
  <si>
    <t>13.69</t>
  </si>
  <si>
    <t>13.31</t>
  </si>
  <si>
    <t>85.87</t>
  </si>
  <si>
    <t>91.19</t>
  </si>
  <si>
    <t>85.23</t>
  </si>
  <si>
    <t>7.11</t>
  </si>
  <si>
    <t>9.43</t>
  </si>
  <si>
    <t>86.73</t>
  </si>
  <si>
    <t>68.22</t>
  </si>
  <si>
    <t>94.8</t>
  </si>
  <si>
    <t>95.61</t>
  </si>
  <si>
    <t>12.38</t>
  </si>
  <si>
    <t>6.33</t>
  </si>
  <si>
    <t>97.37</t>
  </si>
  <si>
    <t>99.85</t>
  </si>
  <si>
    <t>16.16</t>
  </si>
  <si>
    <t>97.97</t>
  </si>
  <si>
    <t>10.35</t>
  </si>
  <si>
    <t>11.65</t>
  </si>
  <si>
    <t>75.93</t>
  </si>
  <si>
    <t>80.66</t>
  </si>
  <si>
    <t>73.68</t>
  </si>
  <si>
    <t>8.23</t>
  </si>
  <si>
    <t>6.74</t>
  </si>
  <si>
    <t>90.7</t>
  </si>
  <si>
    <t>90.51</t>
  </si>
  <si>
    <t>97.54</t>
  </si>
  <si>
    <t>96.24</t>
  </si>
  <si>
    <t>13.36</t>
  </si>
  <si>
    <t>12.16</t>
  </si>
  <si>
    <t>97.99</t>
  </si>
  <si>
    <t>94.65</t>
  </si>
  <si>
    <t>91.5</t>
  </si>
  <si>
    <t>89.78</t>
  </si>
  <si>
    <t>15.98</t>
  </si>
  <si>
    <t>17.83</t>
  </si>
  <si>
    <t>93.32</t>
  </si>
  <si>
    <t>99.96</t>
  </si>
  <si>
    <t>98.41</t>
  </si>
  <si>
    <t>9.95</t>
  </si>
  <si>
    <t>8.28</t>
  </si>
  <si>
    <t>95.85</t>
  </si>
  <si>
    <t>93.16</t>
  </si>
  <si>
    <t>93.5</t>
  </si>
  <si>
    <t>90.76</t>
  </si>
  <si>
    <t>23.48</t>
  </si>
  <si>
    <t>22.96</t>
  </si>
  <si>
    <t>95.03</t>
  </si>
  <si>
    <t>99.93</t>
  </si>
  <si>
    <t>95.65</t>
  </si>
  <si>
    <t>95.92</t>
  </si>
  <si>
    <t>11.81</t>
  </si>
  <si>
    <t>11.17</t>
  </si>
  <si>
    <t>94.76</t>
  </si>
  <si>
    <t>92.88</t>
  </si>
  <si>
    <t>21.73</t>
  </si>
  <si>
    <t>20.77</t>
  </si>
  <si>
    <t>88.52</t>
  </si>
  <si>
    <t>95.25</t>
  </si>
  <si>
    <t>98.02</t>
  </si>
  <si>
    <t>99.87</t>
  </si>
  <si>
    <t>7.06</t>
  </si>
  <si>
    <t>4.05</t>
  </si>
  <si>
    <t>98.36</t>
  </si>
  <si>
    <t>92.22</t>
  </si>
  <si>
    <t>99.27</t>
  </si>
  <si>
    <t>99.15</t>
  </si>
  <si>
    <t>18.84</t>
  </si>
  <si>
    <t>17.25</t>
  </si>
  <si>
    <t>99.13</t>
  </si>
  <si>
    <t>95.95</t>
  </si>
  <si>
    <t>92.44</t>
  </si>
  <si>
    <t>8.54</t>
  </si>
  <si>
    <t>7.9</t>
  </si>
  <si>
    <t>81.51</t>
  </si>
  <si>
    <t>97.88</t>
  </si>
  <si>
    <t>97.98</t>
  </si>
  <si>
    <t>19.19</t>
  </si>
  <si>
    <t>16.04</t>
  </si>
  <si>
    <t>99.77</t>
  </si>
  <si>
    <t>91.95</t>
  </si>
  <si>
    <t>97.55</t>
  </si>
  <si>
    <t>97.24</t>
  </si>
  <si>
    <t>8.96</t>
  </si>
  <si>
    <t>6.08</t>
  </si>
  <si>
    <t>86.18</t>
  </si>
  <si>
    <t>97.46</t>
  </si>
  <si>
    <t>99.41</t>
  </si>
  <si>
    <t>98.22</t>
  </si>
  <si>
    <t>10.95</t>
  </si>
  <si>
    <t>27.54</t>
  </si>
  <si>
    <t>52.89</t>
  </si>
  <si>
    <t>9.84</t>
  </si>
  <si>
    <t>15.56</t>
  </si>
  <si>
    <t>92.36</t>
  </si>
  <si>
    <t>98.16</t>
  </si>
  <si>
    <t>12.58</t>
  </si>
  <si>
    <t>11.39</t>
  </si>
  <si>
    <t>98.83</t>
  </si>
  <si>
    <t>92.72</t>
  </si>
  <si>
    <t>96.3</t>
  </si>
  <si>
    <t>7.75</t>
  </si>
  <si>
    <t>6.87</t>
  </si>
  <si>
    <t>95.7</t>
  </si>
  <si>
    <t>99.1</t>
  </si>
  <si>
    <t>14.99</t>
  </si>
  <si>
    <t>28.34</t>
  </si>
  <si>
    <t>26.78</t>
  </si>
  <si>
    <t>25.42</t>
  </si>
  <si>
    <t>94.37</t>
  </si>
  <si>
    <t>93.82</t>
  </si>
  <si>
    <t>93.71</t>
  </si>
  <si>
    <t>15.54</t>
  </si>
  <si>
    <t>14.86</t>
  </si>
  <si>
    <t>95.57</t>
  </si>
  <si>
    <t>Data Tarik : 2026-10-01 04:43:44</t>
  </si>
  <si>
    <t>[39]</t>
  </si>
  <si>
    <t>[40]</t>
  </si>
  <si>
    <t>[41]</t>
  </si>
  <si>
    <t>[42]</t>
  </si>
  <si>
    <t>54.21</t>
  </si>
  <si>
    <t>18.72</t>
  </si>
  <si>
    <t>27.56</t>
  </si>
  <si>
    <t>86.19</t>
  </si>
  <si>
    <t>74.21</t>
  </si>
  <si>
    <t>73.51</t>
  </si>
  <si>
    <t>20.42</t>
  </si>
  <si>
    <t>28.82</t>
  </si>
  <si>
    <t>86.05</t>
  </si>
  <si>
    <t>65.15</t>
  </si>
  <si>
    <t>50.87</t>
  </si>
  <si>
    <t>14.81</t>
  </si>
  <si>
    <t>37.45</t>
  </si>
  <si>
    <t>92.81</t>
  </si>
  <si>
    <t>77.34</t>
  </si>
  <si>
    <t>68.4</t>
  </si>
  <si>
    <t>28.29</t>
  </si>
  <si>
    <t>43.72</t>
  </si>
  <si>
    <t>91.03</t>
  </si>
  <si>
    <t>76.28</t>
  </si>
  <si>
    <t>43.41</t>
  </si>
  <si>
    <t>4.98</t>
  </si>
  <si>
    <t>19.77</t>
  </si>
  <si>
    <t>81.06</t>
  </si>
  <si>
    <t>46.6</t>
  </si>
  <si>
    <t>56.97</t>
  </si>
  <si>
    <t>5.41</t>
  </si>
  <si>
    <t>21.01</t>
  </si>
  <si>
    <t>82.45</t>
  </si>
  <si>
    <t>62.56</t>
  </si>
  <si>
    <t>56.47</t>
  </si>
  <si>
    <t>17.95</t>
  </si>
  <si>
    <t>5.81</t>
  </si>
  <si>
    <t>51.15</t>
  </si>
  <si>
    <t>62.66</t>
  </si>
  <si>
    <t>6.82</t>
  </si>
  <si>
    <t>17.94</t>
  </si>
  <si>
    <t>77.65</t>
  </si>
  <si>
    <t>59.65</t>
  </si>
  <si>
    <t>56.17</t>
  </si>
  <si>
    <t>15.25</t>
  </si>
  <si>
    <t>20.72</t>
  </si>
  <si>
    <t>73.47</t>
  </si>
  <si>
    <t>51.34</t>
  </si>
  <si>
    <t>80.27</t>
  </si>
  <si>
    <t>19.33</t>
  </si>
  <si>
    <t>80.78</t>
  </si>
  <si>
    <t>65.08</t>
  </si>
  <si>
    <t>60.25</t>
  </si>
  <si>
    <t>10.29</t>
  </si>
  <si>
    <t>8.15</t>
  </si>
  <si>
    <t>77.35</t>
  </si>
  <si>
    <t>43.28</t>
  </si>
  <si>
    <t>61.17</t>
  </si>
  <si>
    <t>14.52</t>
  </si>
  <si>
    <t>21.71</t>
  </si>
  <si>
    <t>74.85</t>
  </si>
  <si>
    <t>48.3</t>
  </si>
  <si>
    <t>6.21</t>
  </si>
  <si>
    <t>48.15</t>
  </si>
  <si>
    <t>2.96</t>
  </si>
  <si>
    <t>49.67</t>
  </si>
  <si>
    <t>23.73</t>
  </si>
  <si>
    <t>27.38</t>
  </si>
  <si>
    <t>5.82</t>
  </si>
  <si>
    <t>50.36</t>
  </si>
  <si>
    <t>29.39</t>
  </si>
  <si>
    <t>44.69</t>
  </si>
  <si>
    <t>6.72</t>
  </si>
  <si>
    <t>22.83</t>
  </si>
  <si>
    <t>73.79</t>
  </si>
  <si>
    <t>54.71</t>
  </si>
  <si>
    <t>92.57</t>
  </si>
  <si>
    <t>80.12</t>
  </si>
  <si>
    <t>48.33</t>
  </si>
  <si>
    <t>94.35</t>
  </si>
  <si>
    <t>81.88</t>
  </si>
  <si>
    <t>86.34</t>
  </si>
  <si>
    <t>31.09</t>
  </si>
  <si>
    <t>52.35</t>
  </si>
  <si>
    <t>96.86</t>
  </si>
  <si>
    <t>87.65</t>
  </si>
  <si>
    <t>71.69</t>
  </si>
  <si>
    <t>21.17</t>
  </si>
  <si>
    <t>31.37</t>
  </si>
  <si>
    <t>88.12</t>
  </si>
  <si>
    <t>62.1</t>
  </si>
  <si>
    <t>62.28</t>
  </si>
  <si>
    <t>10.26</t>
  </si>
  <si>
    <t>17.36</t>
  </si>
  <si>
    <t>67.19</t>
  </si>
  <si>
    <t>52.43</t>
  </si>
  <si>
    <t>67.16</t>
  </si>
  <si>
    <t>10.68</t>
  </si>
  <si>
    <t>24.71</t>
  </si>
  <si>
    <t>62.34</t>
  </si>
  <si>
    <t>46.7</t>
  </si>
  <si>
    <t>60.16</t>
  </si>
  <si>
    <t>34.96</t>
  </si>
  <si>
    <t>79.32</t>
  </si>
  <si>
    <t>59.38</t>
  </si>
  <si>
    <t>79.41</t>
  </si>
  <si>
    <t>22.56</t>
  </si>
  <si>
    <t>29.85</t>
  </si>
  <si>
    <t>95.32</t>
  </si>
  <si>
    <t>85.22</t>
  </si>
  <si>
    <t>56.81</t>
  </si>
  <si>
    <t>12.37</t>
  </si>
  <si>
    <t>10.59</t>
  </si>
  <si>
    <t>74.63</t>
  </si>
  <si>
    <t>46.3</t>
  </si>
  <si>
    <t>17.97</t>
  </si>
  <si>
    <t>70.17</t>
  </si>
  <si>
    <t>16.44</t>
  </si>
  <si>
    <t>37.77</t>
  </si>
  <si>
    <t>83.9</t>
  </si>
  <si>
    <t>68.18</t>
  </si>
  <si>
    <t>93.41</t>
  </si>
  <si>
    <t>95.83</t>
  </si>
  <si>
    <t>48.24</t>
  </si>
  <si>
    <t>90.72</t>
  </si>
  <si>
    <t>72.72</t>
  </si>
  <si>
    <t>67.93</t>
  </si>
  <si>
    <t>13.64</t>
  </si>
  <si>
    <t>45.38</t>
  </si>
  <si>
    <t>85.82</t>
  </si>
  <si>
    <t>69.18</t>
  </si>
  <si>
    <t>59.45</t>
  </si>
  <si>
    <t>13.11</t>
  </si>
  <si>
    <t>20.78</t>
  </si>
  <si>
    <t>86.46</t>
  </si>
  <si>
    <t>70.37</t>
  </si>
  <si>
    <t>16.55</t>
  </si>
  <si>
    <t>25.12</t>
  </si>
  <si>
    <t>90.79</t>
  </si>
  <si>
    <t>67.58</t>
  </si>
  <si>
    <t>3.83</t>
  </si>
  <si>
    <t>14.09</t>
  </si>
  <si>
    <t>77.68</t>
  </si>
  <si>
    <t>51.83</t>
  </si>
  <si>
    <t>85.07</t>
  </si>
  <si>
    <t>92.31</t>
  </si>
  <si>
    <t>55.17</t>
  </si>
  <si>
    <t>93.97</t>
  </si>
  <si>
    <t>87.28</t>
  </si>
  <si>
    <t>97.52</t>
  </si>
  <si>
    <t>59.72</t>
  </si>
  <si>
    <t>2.78</t>
  </si>
  <si>
    <t>4.99</t>
  </si>
  <si>
    <t>83.47</t>
  </si>
  <si>
    <t>43.27</t>
  </si>
  <si>
    <t>8.33</t>
  </si>
  <si>
    <t>78.14</t>
  </si>
  <si>
    <t>59.41</t>
  </si>
  <si>
    <t>12.5</t>
  </si>
  <si>
    <t>14.71</t>
  </si>
  <si>
    <t>81.35</t>
  </si>
  <si>
    <t>49.37</t>
  </si>
  <si>
    <t>94.3</t>
  </si>
  <si>
    <t>88.11</t>
  </si>
  <si>
    <t>50.63</t>
  </si>
  <si>
    <t>91.28</t>
  </si>
  <si>
    <t>81.96</t>
  </si>
  <si>
    <t>29.95</t>
  </si>
  <si>
    <t>6.9</t>
  </si>
  <si>
    <t>16.42</t>
  </si>
  <si>
    <t>92.64</t>
  </si>
  <si>
    <t>60.26</t>
  </si>
  <si>
    <t>63.04</t>
  </si>
  <si>
    <t>21.14</t>
  </si>
  <si>
    <t>24.68</t>
  </si>
  <si>
    <t>82.64</t>
  </si>
  <si>
    <t>62.88</t>
  </si>
  <si>
    <t>tw 3: 39</t>
  </si>
  <si>
    <t>Data Tarik : 2026-10-01 04:32:23</t>
  </si>
  <si>
    <t>Jumlah bayi baru lahir hidup</t>
  </si>
  <si>
    <t>Bayi baru lahir</t>
  </si>
  <si>
    <t>Pemantauan Pertumbuhan</t>
  </si>
  <si>
    <t>Pemantauan Pertumbuhan dan Perkembangan</t>
  </si>
  <si>
    <t>Cakupan balita dan anak prasekolah dilayani SDIDTK/PPP di FKTP</t>
  </si>
  <si>
    <t>Persentase balita dan anak prasekolah yang terdeteksi ada gangguan atau penyimpangan perkembangan</t>
  </si>
  <si>
    <t>Persentase Balita dan Anak Prasekolah dengan kelengkapan pengisian Buku KIA bagian pemantauan perkembangan</t>
  </si>
  <si>
    <t>Persentase Balita dan Anak Prasekolah yang mengikut Kelas Ibu Balita minimal 4 kali</t>
  </si>
  <si>
    <t>Cakupan bayi dilayani PKAT (Pemeriksaan Kesehatan Anak Terintegrasi)</t>
  </si>
  <si>
    <t>Persentase bayi lahir prematur</t>
  </si>
  <si>
    <t>Persentase bayi dengan berat badan lahir rendah (berat badan &lt; 2500 gram)</t>
  </si>
  <si>
    <t>Persentase panjang bayi lahir rendah</t>
  </si>
  <si>
    <t>Persentase lingkar kepala bayi lahir rendah</t>
  </si>
  <si>
    <t>Persentase bayi prematur dan BBLR yang mendapat buku KIA bayi kecil</t>
  </si>
  <si>
    <t>Persentase bayi baru lahir dengan BBLR mendapat tata laksana</t>
  </si>
  <si>
    <t>Persentase bayi yang baru lahir mendapat IMD</t>
  </si>
  <si>
    <t>Jumlah sasaran balita</t>
  </si>
  <si>
    <t>Jumlah sasaran balita bulan ini</t>
  </si>
  <si>
    <t>Jumlah balita ditimbang bulan ini</t>
  </si>
  <si>
    <t>Jumlah balita punya buku KIA bulan ini</t>
  </si>
  <si>
    <t>Jumlah sasaran anak prasekolah (60-83 bulan)</t>
  </si>
  <si>
    <t>Jumlah anak prasekolah (60-83 bulan) bulan ini</t>
  </si>
  <si>
    <t>Jumlah anak prasekolah (60-83 bulan) ditimbang bulan ini</t>
  </si>
  <si>
    <t>Jumlah anak prasekolah (60-83 bulan) punya buku KIA bulan ini</t>
  </si>
  <si>
    <t>Jumlah balita usia 12-23 bulan sampai TW ini</t>
  </si>
  <si>
    <t>Jumlah balita usia 12-23 bulan (yang berulang tahun di bulan ini) dipantau pertumbuhan dan perkembangan</t>
  </si>
  <si>
    <t>Jumlah balita usia 24-59 bulan sampai TW ini</t>
  </si>
  <si>
    <t>Jumlah balita usia 24-59 bulan (yang berulang tahun di bulan ini) dipantau pertumbuhan dan perkembangan</t>
  </si>
  <si>
    <t>Jumlah balita usia 12-59 bulan sampai TW ini</t>
  </si>
  <si>
    <t>Jumlah balita usia 12-59 bulan yang dipantau pertumbuhan dan perkembangan TW ini</t>
  </si>
  <si>
    <t>Jumlah balita mendapat pelayanan SDIDTK/PPP di Fasyankes bulan ini</t>
  </si>
  <si>
    <t>Jumlah anak prasekolah mendapat pelayanan SDIDTK/PPP di Fasyankes bulan ini</t>
  </si>
  <si>
    <t>Jumlah balita dengan hasil perkembangan sesuai bulan ini</t>
  </si>
  <si>
    <t>Jumlah balita dengan hasil perkembangan meragukan bulan ini</t>
  </si>
  <si>
    <t>Jumlah balita dengan hasil perkembangan kemungkinan penyimpangan bulan ini</t>
  </si>
  <si>
    <t>Jumlah balita dengan hasil perkembangan meragukan yang mendapat intervensi bulan ini</t>
  </si>
  <si>
    <t>Jumlah balita dengan hasil perkembangan kemungkinan penyimpangan yang mendapat intervensi bulan ini</t>
  </si>
  <si>
    <t>Jumlah anak prasekolah dengan hasil perkembangan sesuai bulan ini</t>
  </si>
  <si>
    <t>Jumlah anak prasekolah dengan hasil perkembangan meragukan bulan ini</t>
  </si>
  <si>
    <t>Jumlah anak prasekolah dengan hasil perkembangan kemungkinan penyimpangan bulan ini</t>
  </si>
  <si>
    <t>Jumlah anak prasekolah dengan hasil perkembangan meragukan yang mendapat intervensi bulan ini</t>
  </si>
  <si>
    <t>Jumlah anak prasekolah dengan hasil perkembangan kemungkinan penyimpangan yang mendapat intervensi bulan ini</t>
  </si>
  <si>
    <t>Jumlah balita yang Buku KIA nya terisi lengkap bagian pemantauan perkembangan</t>
  </si>
  <si>
    <t>Jumlah anak prasekolah yang Buku KIA nya terisi lengkap bagian pemantauan perkembangan</t>
  </si>
  <si>
    <t>Jumlah balita yang ibu/orangtua/wali/keluarga/pengasuh telah mengikuti minimal 4 (empat) kali kelas ibu balita</t>
  </si>
  <si>
    <t>Jumlah anak prasekolah yang ibu/orangtua/wali/keluarga/pengasuh telah mengikuti minimal 4 (empat) kali kelas ibu balita</t>
  </si>
  <si>
    <t>Jumlah bayi lahir &lt; 37 minggu</t>
  </si>
  <si>
    <t>Jumlah bayi BBLR</t>
  </si>
  <si>
    <t>Jumlah Bayi PBLR</t>
  </si>
  <si>
    <t>Jumlah lingkar kepala bayi lahir rendah</t>
  </si>
  <si>
    <t>Jumlah bayi yang prematur dan BBLR</t>
  </si>
  <si>
    <t>Jumlah bayi prematur dan BBLR yang mendapat buku KIA bayi kecil</t>
  </si>
  <si>
    <t>Jumlah bayi baru lahir dengan BBLR mendapat tata laksana</t>
  </si>
  <si>
    <t>Jumlah Bayi Mendapat IMD</t>
  </si>
  <si>
    <t>Jumlah bayi usia 6 bulan - 6 bulan 29 hari</t>
  </si>
  <si>
    <t>Jumlah bayi usia 6 bulan - 6 bulan 29 hari yang dilayani PKAT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</si>
  <si>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</si>
  <si>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</si>
  <si>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</si>
  <si>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</si>
  <si>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</si>
  <si>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</si>
  <si>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</si>
  <si>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</si>
  <si>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</si>
  <si>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</si>
  <si>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</si>
  <si>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</si>
  <si>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</si>
  <si>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</si>
  <si>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</si>
  <si>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</si>
  <si>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</si>
  <si>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</si>
  <si>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</si>
  <si>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</si>
  <si>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</si>
  <si>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</si>
  <si>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20.05</t>
  </si>
  <si>
    <t>16.34</t>
  </si>
  <si>
    <t>17.72</t>
  </si>
  <si>
    <t>38.18</t>
  </si>
  <si>
    <t>95.9</t>
  </si>
  <si>
    <t>98.58</t>
  </si>
  <si>
    <t>4.8</t>
  </si>
  <si>
    <t>96.74</t>
  </si>
  <si>
    <t>55.71</t>
  </si>
  <si>
    <t>56.37</t>
  </si>
  <si>
    <t>30.57</t>
  </si>
  <si>
    <t>51.17</t>
  </si>
  <si>
    <t>33.52</t>
  </si>
  <si>
    <t>42.31</t>
  </si>
  <si>
    <t>3.81</t>
  </si>
  <si>
    <t>0.31</t>
  </si>
  <si>
    <t>26.06</t>
  </si>
  <si>
    <t>11.47</t>
  </si>
  <si>
    <t>59.59</t>
  </si>
  <si>
    <t>72.61</t>
  </si>
  <si>
    <t>99.53</t>
  </si>
  <si>
    <t>9.19</t>
  </si>
  <si>
    <t>99.6</t>
  </si>
  <si>
    <t>12.06</t>
  </si>
  <si>
    <t>11.16</t>
  </si>
  <si>
    <t>54.45</t>
  </si>
  <si>
    <t>43.91</t>
  </si>
  <si>
    <t>14.41</t>
  </si>
  <si>
    <t>10.77</t>
  </si>
  <si>
    <t>3.75</t>
  </si>
  <si>
    <t>0.53</t>
  </si>
  <si>
    <t>29.04</t>
  </si>
  <si>
    <t>12.9</t>
  </si>
  <si>
    <t>57.74</t>
  </si>
  <si>
    <t>66.17</t>
  </si>
  <si>
    <t>93.34</t>
  </si>
  <si>
    <t>100.01</t>
  </si>
  <si>
    <t>99.56</t>
  </si>
  <si>
    <t>26.18</t>
  </si>
  <si>
    <t>23.29</t>
  </si>
  <si>
    <t>36.31</t>
  </si>
  <si>
    <t>21.07</t>
  </si>
  <si>
    <t>59.3</t>
  </si>
  <si>
    <t>1.72</t>
  </si>
  <si>
    <t>0.15</t>
  </si>
  <si>
    <t>23.99</t>
  </si>
  <si>
    <t>15.78</t>
  </si>
  <si>
    <t>42.8</t>
  </si>
  <si>
    <t>61.13</t>
  </si>
  <si>
    <t>85.51</t>
  </si>
  <si>
    <t>99.62</t>
  </si>
  <si>
    <t>99.66</t>
  </si>
  <si>
    <t>9.47</t>
  </si>
  <si>
    <t>8.79</t>
  </si>
  <si>
    <t>39.04</t>
  </si>
  <si>
    <t>55.3</t>
  </si>
  <si>
    <t>8.13</t>
  </si>
  <si>
    <t>11.21</t>
  </si>
  <si>
    <t>1.44</t>
  </si>
  <si>
    <t>0.03</t>
  </si>
  <si>
    <t>25.95</t>
  </si>
  <si>
    <t>15.1</t>
  </si>
  <si>
    <t>28.94</t>
  </si>
  <si>
    <t>40.16</t>
  </si>
  <si>
    <t>82.53</t>
  </si>
  <si>
    <t>99.59</t>
  </si>
  <si>
    <t>2.38</t>
  </si>
  <si>
    <t>2.95</t>
  </si>
  <si>
    <t>2.19</t>
  </si>
  <si>
    <t>23.94</t>
  </si>
  <si>
    <t>29.52</t>
  </si>
  <si>
    <t>28.6</t>
  </si>
  <si>
    <t>36.11</t>
  </si>
  <si>
    <t>1.48</t>
  </si>
  <si>
    <t>34.56</t>
  </si>
  <si>
    <t>10.83</t>
  </si>
  <si>
    <t>34.46</t>
  </si>
  <si>
    <t>86.61</t>
  </si>
  <si>
    <t>98.93</t>
  </si>
  <si>
    <t>4.95</t>
  </si>
  <si>
    <t>98.89</t>
  </si>
  <si>
    <t>10.75</t>
  </si>
  <si>
    <t>9.99</t>
  </si>
  <si>
    <t>15.64</t>
  </si>
  <si>
    <t>15.7</t>
  </si>
  <si>
    <t>4.25</t>
  </si>
  <si>
    <t>2.22</t>
  </si>
  <si>
    <t>0.01</t>
  </si>
  <si>
    <t>26.8</t>
  </si>
  <si>
    <t>11.12</t>
  </si>
  <si>
    <t>33.51</t>
  </si>
  <si>
    <t>93.02</t>
  </si>
  <si>
    <t>99.91</t>
  </si>
  <si>
    <t>3.65</t>
  </si>
  <si>
    <t>98.94</t>
  </si>
  <si>
    <t>1.86</t>
  </si>
  <si>
    <t>1.74</t>
  </si>
  <si>
    <t>33.17</t>
  </si>
  <si>
    <t>20.71</t>
  </si>
  <si>
    <t>17.28</t>
  </si>
  <si>
    <t>1.93</t>
  </si>
  <si>
    <t>0.08</t>
  </si>
  <si>
    <t>31.77</t>
  </si>
  <si>
    <t>14.82</t>
  </si>
  <si>
    <t>18.83</t>
  </si>
  <si>
    <t>95.04</t>
  </si>
  <si>
    <t>99.63</t>
  </si>
  <si>
    <t>3.63</t>
  </si>
  <si>
    <t>3.36</t>
  </si>
  <si>
    <t>35.48</t>
  </si>
  <si>
    <t>43.8</t>
  </si>
  <si>
    <t>114.19</t>
  </si>
  <si>
    <t>8.7</t>
  </si>
  <si>
    <t>1.28</t>
  </si>
  <si>
    <t>21.48</t>
  </si>
  <si>
    <t>7.93</t>
  </si>
  <si>
    <t>19.37</t>
  </si>
  <si>
    <t>41.91</t>
  </si>
  <si>
    <t>94.67</t>
  </si>
  <si>
    <t>85.33</t>
  </si>
  <si>
    <t>2.28</t>
  </si>
  <si>
    <t>72.04</t>
  </si>
  <si>
    <t>3.26</t>
  </si>
  <si>
    <t>2.73</t>
  </si>
  <si>
    <t>54.52</t>
  </si>
  <si>
    <t>55.18</t>
  </si>
  <si>
    <t>21.6</t>
  </si>
  <si>
    <t>29.25</t>
  </si>
  <si>
    <t>3.39</t>
  </si>
  <si>
    <t>28.1</t>
  </si>
  <si>
    <t>8.51</t>
  </si>
  <si>
    <t>28.17</t>
  </si>
  <si>
    <t>94.71</t>
  </si>
  <si>
    <t>9.42</t>
  </si>
  <si>
    <t>82.07</t>
  </si>
  <si>
    <t>10.43</t>
  </si>
  <si>
    <t>7.96</t>
  </si>
  <si>
    <t>37.02</t>
  </si>
  <si>
    <t>28.09</t>
  </si>
  <si>
    <t>24.77</t>
  </si>
  <si>
    <t>49.46</t>
  </si>
  <si>
    <t>1.5</t>
  </si>
  <si>
    <t>0.18</t>
  </si>
  <si>
    <t>22.27</t>
  </si>
  <si>
    <t>6.86</t>
  </si>
  <si>
    <t>39.23</t>
  </si>
  <si>
    <t>96.56</t>
  </si>
  <si>
    <t>29.55</t>
  </si>
  <si>
    <t>97.19</t>
  </si>
  <si>
    <t>17.18</t>
  </si>
  <si>
    <t>17.05</t>
  </si>
  <si>
    <t>56.06</t>
  </si>
  <si>
    <t>17.03</t>
  </si>
  <si>
    <t>28.61</t>
  </si>
  <si>
    <t>7.43</t>
  </si>
  <si>
    <t>3.41</t>
  </si>
  <si>
    <t>29.71</t>
  </si>
  <si>
    <t>12.34</t>
  </si>
  <si>
    <t>28.71</t>
  </si>
  <si>
    <t>91.18</t>
  </si>
  <si>
    <t>99.12</t>
  </si>
  <si>
    <t>11.77</t>
  </si>
  <si>
    <t>9.25</t>
  </si>
  <si>
    <t>8.53</t>
  </si>
  <si>
    <t>182.57</t>
  </si>
  <si>
    <t>158.08</t>
  </si>
  <si>
    <t>24.49</t>
  </si>
  <si>
    <t>38.25</t>
  </si>
  <si>
    <t>4.64</t>
  </si>
  <si>
    <t>23.41</t>
  </si>
  <si>
    <t>7.25</t>
  </si>
  <si>
    <t>29.41</t>
  </si>
  <si>
    <t>88.17</t>
  </si>
  <si>
    <t>99.67</t>
  </si>
  <si>
    <t>2.16</t>
  </si>
  <si>
    <t>98.18</t>
  </si>
  <si>
    <t>1.77</t>
  </si>
  <si>
    <t>1.51</t>
  </si>
  <si>
    <t>28.93</t>
  </si>
  <si>
    <t>34.53</t>
  </si>
  <si>
    <t>0.06</t>
  </si>
  <si>
    <t>18.2</t>
  </si>
  <si>
    <t>7.42</t>
  </si>
  <si>
    <t>24.37</t>
  </si>
  <si>
    <t>49.12</t>
  </si>
  <si>
    <t>93.37</t>
  </si>
  <si>
    <t>99.39</t>
  </si>
  <si>
    <t>1.09</t>
  </si>
  <si>
    <t>99.83</t>
  </si>
  <si>
    <t>1.7</t>
  </si>
  <si>
    <t>1.66</t>
  </si>
  <si>
    <t>8.8</t>
  </si>
  <si>
    <t>21.88</t>
  </si>
  <si>
    <t>16.83</t>
  </si>
  <si>
    <t>16.71</t>
  </si>
  <si>
    <t>14.29</t>
  </si>
  <si>
    <t>25.53</t>
  </si>
  <si>
    <t>95.54</t>
  </si>
  <si>
    <t>97.59</t>
  </si>
  <si>
    <t>11.43</t>
  </si>
  <si>
    <t>97.17</t>
  </si>
  <si>
    <t>20.38</t>
  </si>
  <si>
    <t>13.44</t>
  </si>
  <si>
    <t>36.14</t>
  </si>
  <si>
    <t>65.54</t>
  </si>
  <si>
    <t>7.44</t>
  </si>
  <si>
    <t>7.41</t>
  </si>
  <si>
    <t>1.8</t>
  </si>
  <si>
    <t>2.05</t>
  </si>
  <si>
    <t>16.15</t>
  </si>
  <si>
    <t>7.7</t>
  </si>
  <si>
    <t>65.01</t>
  </si>
  <si>
    <t>80.36</t>
  </si>
  <si>
    <t>94.84</t>
  </si>
  <si>
    <t>98.21</t>
  </si>
  <si>
    <t>35.37</t>
  </si>
  <si>
    <t>98.73</t>
  </si>
  <si>
    <t>33.89</t>
  </si>
  <si>
    <t>34.1</t>
  </si>
  <si>
    <t>36.94</t>
  </si>
  <si>
    <t>54.7</t>
  </si>
  <si>
    <t>39.07</t>
  </si>
  <si>
    <t>12.11</t>
  </si>
  <si>
    <t>2.89</t>
  </si>
  <si>
    <t>0.33</t>
  </si>
  <si>
    <t>11.59</t>
  </si>
  <si>
    <t>8.08</t>
  </si>
  <si>
    <t>59.33</t>
  </si>
  <si>
    <t>74.52</t>
  </si>
  <si>
    <t>85.52</t>
  </si>
  <si>
    <t>98.12</t>
  </si>
  <si>
    <t>25.41</t>
  </si>
  <si>
    <t>16.18</t>
  </si>
  <si>
    <t>15.62</t>
  </si>
  <si>
    <t>52.71</t>
  </si>
  <si>
    <t>50.16</t>
  </si>
  <si>
    <t>15.53</t>
  </si>
  <si>
    <t>5.22</t>
  </si>
  <si>
    <t>2.85</t>
  </si>
  <si>
    <t>14.9</t>
  </si>
  <si>
    <t>5.29</t>
  </si>
  <si>
    <t>25.08</t>
  </si>
  <si>
    <t>94.46</t>
  </si>
  <si>
    <t>99.46</t>
  </si>
  <si>
    <t>99.37</t>
  </si>
  <si>
    <t>8.73</t>
  </si>
  <si>
    <t>7.35</t>
  </si>
  <si>
    <t>38.39</t>
  </si>
  <si>
    <t>72.77</t>
  </si>
  <si>
    <t>19.54</t>
  </si>
  <si>
    <t>5.87</t>
  </si>
  <si>
    <t>0.92</t>
  </si>
  <si>
    <t>14.08</t>
  </si>
  <si>
    <t>3.03</t>
  </si>
  <si>
    <t>31.98</t>
  </si>
  <si>
    <t>44.92</t>
  </si>
  <si>
    <t>91.09</t>
  </si>
  <si>
    <t>100.42</t>
  </si>
  <si>
    <t>2.71</t>
  </si>
  <si>
    <t>1.82</t>
  </si>
  <si>
    <t>74.62</t>
  </si>
  <si>
    <t>67.47</t>
  </si>
  <si>
    <t>59.05</t>
  </si>
  <si>
    <t>27.94</t>
  </si>
  <si>
    <t>3.85</t>
  </si>
  <si>
    <t>0.32</t>
  </si>
  <si>
    <t>15.19</t>
  </si>
  <si>
    <t>9.65</t>
  </si>
  <si>
    <t>16.52</t>
  </si>
  <si>
    <t>39.29</t>
  </si>
  <si>
    <t>95.79</t>
  </si>
  <si>
    <t>99.8</t>
  </si>
  <si>
    <t>2.12</t>
  </si>
  <si>
    <t>99.31</t>
  </si>
  <si>
    <t>1.52</t>
  </si>
  <si>
    <t>48.77</t>
  </si>
  <si>
    <t>45.15</t>
  </si>
  <si>
    <t>18.12</t>
  </si>
  <si>
    <t>4.27</t>
  </si>
  <si>
    <t>10.02</t>
  </si>
  <si>
    <t>5.31</t>
  </si>
  <si>
    <t>20.19</t>
  </si>
  <si>
    <t>47.16</t>
  </si>
  <si>
    <t>98.03</t>
  </si>
  <si>
    <t>18.07</t>
  </si>
  <si>
    <t>17.96</t>
  </si>
  <si>
    <t>13.33</t>
  </si>
  <si>
    <t>67.23</t>
  </si>
  <si>
    <t>61.25</t>
  </si>
  <si>
    <t>39.47</t>
  </si>
  <si>
    <t>114.07</t>
  </si>
  <si>
    <t>3.62</t>
  </si>
  <si>
    <t>1.71</t>
  </si>
  <si>
    <t>13.37</t>
  </si>
  <si>
    <t>22.92</t>
  </si>
  <si>
    <t>40.74</t>
  </si>
  <si>
    <t>94.33</t>
  </si>
  <si>
    <t>99.68</t>
  </si>
  <si>
    <t>2.31</t>
  </si>
  <si>
    <t>6.83</t>
  </si>
  <si>
    <t>47.26</t>
  </si>
  <si>
    <t>38.48</t>
  </si>
  <si>
    <t>46.15</t>
  </si>
  <si>
    <t>2260.61</t>
  </si>
  <si>
    <t>0.13</t>
  </si>
  <si>
    <t>17.91</t>
  </si>
  <si>
    <t>10.91</t>
  </si>
  <si>
    <t>33.8</t>
  </si>
  <si>
    <t>42.57</t>
  </si>
  <si>
    <t>90.9</t>
  </si>
  <si>
    <t>96.96</t>
  </si>
  <si>
    <t>24.15</t>
  </si>
  <si>
    <t>2.92</t>
  </si>
  <si>
    <t>31.74</t>
  </si>
  <si>
    <t>35.45</t>
  </si>
  <si>
    <t>16.22</t>
  </si>
  <si>
    <t>55.16</t>
  </si>
  <si>
    <t>3.58</t>
  </si>
  <si>
    <t>0.07</t>
  </si>
  <si>
    <t>10.27</t>
  </si>
  <si>
    <t>24.24</t>
  </si>
  <si>
    <t>44.79</t>
  </si>
  <si>
    <t>90.61</t>
  </si>
  <si>
    <t>99.54</t>
  </si>
  <si>
    <t>4.14</t>
  </si>
  <si>
    <t>100.2</t>
  </si>
  <si>
    <t>9.51</t>
  </si>
  <si>
    <t>9.13</t>
  </si>
  <si>
    <t>30.74</t>
  </si>
  <si>
    <t>34.28</t>
  </si>
  <si>
    <t>8.76</t>
  </si>
  <si>
    <t>26.44</t>
  </si>
  <si>
    <t>0.6</t>
  </si>
  <si>
    <t>13.91</t>
  </si>
  <si>
    <t>9.71</t>
  </si>
  <si>
    <t>74.61</t>
  </si>
  <si>
    <t>91.79</t>
  </si>
  <si>
    <t>95.56</t>
  </si>
  <si>
    <t>5.4</t>
  </si>
  <si>
    <t>91.14</t>
  </si>
  <si>
    <t>92.19</t>
  </si>
  <si>
    <t>31.27</t>
  </si>
  <si>
    <t>44.09</t>
  </si>
  <si>
    <t>2.29</t>
  </si>
  <si>
    <t>3.3</t>
  </si>
  <si>
    <t>2.93</t>
  </si>
  <si>
    <t>16.73</t>
  </si>
  <si>
    <t>10.53</t>
  </si>
  <si>
    <t>38.46</t>
  </si>
  <si>
    <t>64.08</t>
  </si>
  <si>
    <t>92.96</t>
  </si>
  <si>
    <t>99.7</t>
  </si>
  <si>
    <t>12.87</t>
  </si>
  <si>
    <t>98.76</t>
  </si>
  <si>
    <t>3.79</t>
  </si>
  <si>
    <t>69.85</t>
  </si>
  <si>
    <t>31.31</t>
  </si>
  <si>
    <t>26.05</t>
  </si>
  <si>
    <t>20.12</t>
  </si>
  <si>
    <t>0.16</t>
  </si>
  <si>
    <t>15.6</t>
  </si>
  <si>
    <t>18.01</t>
  </si>
  <si>
    <t>60.67</t>
  </si>
  <si>
    <t>93.64</t>
  </si>
  <si>
    <t>99.04</t>
  </si>
  <si>
    <t>4.72</t>
  </si>
  <si>
    <t>2.63</t>
  </si>
  <si>
    <t>35.69</t>
  </si>
  <si>
    <t>24.08</t>
  </si>
  <si>
    <t>6.65</t>
  </si>
  <si>
    <t>3.11</t>
  </si>
  <si>
    <t>0.17</t>
  </si>
  <si>
    <t>21.21</t>
  </si>
  <si>
    <t>11.18</t>
  </si>
  <si>
    <t>27.82</t>
  </si>
  <si>
    <t>47.31</t>
  </si>
  <si>
    <t>95.35</t>
  </si>
  <si>
    <t>99.48</t>
  </si>
  <si>
    <t>2.61</t>
  </si>
  <si>
    <t>1.54</t>
  </si>
  <si>
    <t>1.18</t>
  </si>
  <si>
    <t>15.35</t>
  </si>
  <si>
    <t>21.93</t>
  </si>
  <si>
    <t>10.99</t>
  </si>
  <si>
    <t>19.79</t>
  </si>
  <si>
    <t>13.16</t>
  </si>
  <si>
    <t>41.36</t>
  </si>
  <si>
    <t>99.92</t>
  </si>
  <si>
    <t>2.3</t>
  </si>
  <si>
    <t>1.34</t>
  </si>
  <si>
    <t>22.93</t>
  </si>
  <si>
    <t>11.26</t>
  </si>
  <si>
    <t>8.19</t>
  </si>
  <si>
    <t>34.2</t>
  </si>
  <si>
    <t>1.95</t>
  </si>
  <si>
    <t>44.72</t>
  </si>
  <si>
    <t>9.49</t>
  </si>
  <si>
    <t>44.12</t>
  </si>
  <si>
    <t>73.91</t>
  </si>
  <si>
    <t>81.57</t>
  </si>
  <si>
    <t>99.97</t>
  </si>
  <si>
    <t>0.72</t>
  </si>
  <si>
    <t>11.27</t>
  </si>
  <si>
    <t>8.2</t>
  </si>
  <si>
    <t>34.35</t>
  </si>
  <si>
    <t>58.65</t>
  </si>
  <si>
    <t>84.17</t>
  </si>
  <si>
    <t>91.38</t>
  </si>
  <si>
    <t>1.79</t>
  </si>
  <si>
    <t>23.34</t>
  </si>
  <si>
    <t>3.74</t>
  </si>
  <si>
    <t>44.05</t>
  </si>
  <si>
    <t>42.65</t>
  </si>
  <si>
    <t>97.2</t>
  </si>
  <si>
    <t>99.9</t>
  </si>
  <si>
    <t>13.25</t>
  </si>
  <si>
    <t>99.32</t>
  </si>
  <si>
    <t>17.38</t>
  </si>
  <si>
    <t>16.47</t>
  </si>
  <si>
    <t>30.07</t>
  </si>
  <si>
    <t>49.86</t>
  </si>
  <si>
    <t>53.08</t>
  </si>
  <si>
    <t>93.51</t>
  </si>
  <si>
    <t>0.61</t>
  </si>
  <si>
    <t>19.06</t>
  </si>
  <si>
    <t>5.72</t>
  </si>
  <si>
    <t>80.95</t>
  </si>
  <si>
    <t>85.71</t>
  </si>
  <si>
    <t>28.24</t>
  </si>
  <si>
    <t>32.04</t>
  </si>
  <si>
    <t>26.09</t>
  </si>
  <si>
    <t>166.8</t>
  </si>
  <si>
    <t>38.78</t>
  </si>
  <si>
    <t>0.87</t>
  </si>
  <si>
    <t>14.45</t>
  </si>
  <si>
    <t>2.41</t>
  </si>
  <si>
    <t>41.84</t>
  </si>
  <si>
    <t>39.84</t>
  </si>
  <si>
    <t>100.07</t>
  </si>
  <si>
    <t>6.63</t>
  </si>
  <si>
    <t>10.41</t>
  </si>
  <si>
    <t>10.37</t>
  </si>
  <si>
    <t>42.42</t>
  </si>
  <si>
    <t>10.45</t>
  </si>
  <si>
    <t>62.85</t>
  </si>
  <si>
    <t>1.38</t>
  </si>
  <si>
    <t>25.43</t>
  </si>
  <si>
    <t>6.37</t>
  </si>
  <si>
    <t>63.03</t>
  </si>
  <si>
    <t>96.84</t>
  </si>
  <si>
    <t>98.55</t>
  </si>
  <si>
    <t>97.81</t>
  </si>
  <si>
    <t>99.75</t>
  </si>
  <si>
    <t>71.91</t>
  </si>
  <si>
    <t>74.28</t>
  </si>
  <si>
    <t>36.63</t>
  </si>
  <si>
    <t>59.95</t>
  </si>
  <si>
    <t>81.87</t>
  </si>
  <si>
    <t>86.98</t>
  </si>
  <si>
    <t>8.46</t>
  </si>
  <si>
    <t>23.08</t>
  </si>
  <si>
    <t>37.5</t>
  </si>
  <si>
    <t>95.77</t>
  </si>
  <si>
    <t>99.88</t>
  </si>
  <si>
    <t>3.59</t>
  </si>
  <si>
    <t>96.94</t>
  </si>
  <si>
    <t>5.08</t>
  </si>
  <si>
    <t>4.6</t>
  </si>
  <si>
    <t>44.29</t>
  </si>
  <si>
    <t>110.38</t>
  </si>
  <si>
    <t>48.48</t>
  </si>
  <si>
    <t>0.67</t>
  </si>
  <si>
    <t>0.74</t>
  </si>
  <si>
    <t>9.73</t>
  </si>
  <si>
    <t>34.65</t>
  </si>
  <si>
    <t>56.5</t>
  </si>
  <si>
    <t>12.3</t>
  </si>
  <si>
    <t>11.58</t>
  </si>
  <si>
    <t>41.32</t>
  </si>
  <si>
    <t>43.06</t>
  </si>
  <si>
    <t>21.81</t>
  </si>
  <si>
    <t>31.8</t>
  </si>
  <si>
    <t>2.6</t>
  </si>
  <si>
    <t>0.57</t>
  </si>
  <si>
    <t>Data Tarik : 2026-10-01 04:21:13</t>
  </si>
  <si>
    <t>Masalah gizi</t>
  </si>
  <si>
    <t>ASI Eksklusif dan MPASI</t>
  </si>
  <si>
    <t>Cakupan pemberian suplementasi vitamin A pada balita usia 6-59 bulan</t>
  </si>
  <si>
    <t>Tatalaksana Balita Bermasalah Gizi</t>
  </si>
  <si>
    <t>Jumlah balita usia 0-23 bulan ini (avg)</t>
  </si>
  <si>
    <t>Jumlah balita usia 24-59 bulan ini (avg)</t>
  </si>
  <si>
    <t>Jumlah balita usia 0-59 bulan ini (avg)</t>
  </si>
  <si>
    <t>Jumlah balita usia 0-23 ditimbang bulan ini (avg)</t>
  </si>
  <si>
    <t>Jumlah balita usia 24-59 ditimbang bulan ini (avg)</t>
  </si>
  <si>
    <t>Jumlah balita usia 0-59 ditimbang bulan ini (avg)</t>
  </si>
  <si>
    <t>Jumlah balita usia 0-23 diukur PB/TB bulan ini (avg)</t>
  </si>
  <si>
    <t>Jumlah balita usia 24-59 diukur PB/TB bulan ini (avg)</t>
  </si>
  <si>
    <t>Jumlah balita usia 0-59 diukur PB/TB bulan ini (avg)</t>
  </si>
  <si>
    <t>Jumlah balita usia 0-23 ditimbang dan diukur bulan ini (avg)</t>
  </si>
  <si>
    <t>Jumlah balita usia 24-59 ditimbang dan diukur bulan ini (avg)</t>
  </si>
  <si>
    <t>Jumlah balita usia 0-59 ditimbang dan diukur bulan ini (avg)</t>
  </si>
  <si>
    <t>Persentase balita stunting (pendek dan sangat pendek) pada balita</t>
  </si>
  <si>
    <t>Persentase balita wasting (gizi kurang dan gizi buruk) pada balita</t>
  </si>
  <si>
    <t>Persentase balita overweight (gizi lebih dan obesitas) pada balita</t>
  </si>
  <si>
    <t>Persentase balita underweight (berat badan kurang dan sangat kurang) pada balita</t>
  </si>
  <si>
    <t>Persentase bayi usia &lt;6 bulan mendapat ASI Eksklusif</t>
  </si>
  <si>
    <t>Persentase bayi usia 6 bulan mendapat ASI Eksklusif</t>
  </si>
  <si>
    <t>Persentase Anak 6-23 bulan mendapat MPASI</t>
  </si>
  <si>
    <t>Data bulanan</t>
  </si>
  <si>
    <t>Tahunan</t>
  </si>
  <si>
    <t>Persentase balita gizi kurang mendapat makanan tambahan</t>
  </si>
  <si>
    <t>Persentase balita berat badan kurang mendapat makanan tambahan</t>
  </si>
  <si>
    <t>Persentase balita berat badan tidak naik (T) mendapat makanan tambahan</t>
  </si>
  <si>
    <t>% Rerata balita bermasalah gizi mendapat makanan tambahan</t>
  </si>
  <si>
    <t>Persentase balita gizi buruk mendapat tata laksana</t>
  </si>
  <si>
    <t>Persentase balita stunting dirujuk PKM ke RS</t>
  </si>
  <si>
    <t>Jumlah balita punya buku KIA (avg)</t>
  </si>
  <si>
    <t>Jumlah balita naik berat badannya (N) (avg)</t>
  </si>
  <si>
    <t>Jumlah balita tidak naik berat badannya (T) (avg)</t>
  </si>
  <si>
    <t>Jumlah balita tidak ditimbang bulan lalu (O) (avg)</t>
  </si>
  <si>
    <t>Jumlah balita baru lahir bulan ini (B) (avg)</t>
  </si>
  <si>
    <t>Jumlah balita ditimbang terkoreksi (D') (avg)</t>
  </si>
  <si>
    <t>%balita naik berat badannya (N)</t>
  </si>
  <si>
    <t>Jumlah balita stunting (avg)</t>
  </si>
  <si>
    <t>Jumlah balita wasting (avg)</t>
  </si>
  <si>
    <t>Jumlah balita overweight (avg)</t>
  </si>
  <si>
    <t>Jumlah balita underweight (avg)</t>
  </si>
  <si>
    <t>Jumlah bayi usia 0-5 bulan</t>
  </si>
  <si>
    <t>Jumlah bayi usia 0-5 bulan yang direcall</t>
  </si>
  <si>
    <t>Jumlah bayi usia 0-5 bulan yang mendapat ASI Eksklusif berdasarkan recall 24 jam</t>
  </si>
  <si>
    <t>Jumlah bayi usia 6 bulan</t>
  </si>
  <si>
    <t>Jumlah bayi Asi Eksklusif sampai 6 bulan</t>
  </si>
  <si>
    <t>Jumlah anak usia 6-23 bulan(avg)</t>
  </si>
  <si>
    <t>Jumlah anak usia 6-23 bulan yang diwawancarai(avg)</t>
  </si>
  <si>
    <t>Jumlah anak usia 6-23 bulan mendapat MPASI(avg)</t>
  </si>
  <si>
    <t>Jumlah anak usia 6-23 bulan yang mengkonsumsi telur, ikan dan atau daging(avg)</t>
  </si>
  <si>
    <t>Jumlah anak usia 6-23 bulan mendapat MPASI baik(avg)</t>
  </si>
  <si>
    <t>Jumlah bayi usia 6-11 Bulan Februari</t>
  </si>
  <si>
    <t>Jumlah bayi usia 6-11 bulan mendapat Vitamin A Bulan Februari</t>
  </si>
  <si>
    <t>Jumlah anak usia 12-59 bulan Februari</t>
  </si>
  <si>
    <t>Jumlah anak usia 12-59 bulan mendapat Vitamin A Februari</t>
  </si>
  <si>
    <t>Jumlah anak usia 54-59 bulan Februari</t>
  </si>
  <si>
    <t>Jumlah anak usia 54-59 bulan mendapat Vitamin A Februari</t>
  </si>
  <si>
    <t>Jumlah bayi 6-11 bulan Agustus</t>
  </si>
  <si>
    <t>Jumlah bayi 6-11 bulan mendapat Vitamin A Agustus</t>
  </si>
  <si>
    <t>Jumlah anak 12-59 bulan Agustus</t>
  </si>
  <si>
    <t>Jumlah anak 12-59 bulan mendapat Vitamin A Agustus</t>
  </si>
  <si>
    <t>Jumlah anak 12-59 bulan mendapat Vitamin A 2 kali dalam setahun</t>
  </si>
  <si>
    <t>Jumlah bayi 6-11 bulan</t>
  </si>
  <si>
    <t>Jumlah bayi 6-11 bulan mendapat Vitamin A</t>
  </si>
  <si>
    <t>Jumlah anak 12-59 bulan</t>
  </si>
  <si>
    <t>Jumlah anak 12-59 bulan mendapat Vitamin A</t>
  </si>
  <si>
    <t>Jumlah anak 6-59 bulan</t>
  </si>
  <si>
    <t>Jumlah anak 6-59 bulan mendapat Vitamin A</t>
  </si>
  <si>
    <t>Jumlah seluruh balita usia 6-59 bulan dengan gizi kurang dengan atau tanpa stunting sampai TW ini</t>
  </si>
  <si>
    <t>Jumlah balita usia 6-59 bulan gizi kurang yang mendapatkan makanan tambahan berbahan pangan lokal sampai TW ini</t>
  </si>
  <si>
    <t>Jumlah seluruh balita usia 6-59 bulan dengan BB kurang yang tidak wasting dengan atau tanpa stunting sampai TW ini</t>
  </si>
  <si>
    <t>Jumlah balita usia 6-59 bulan BB kurang yang tidak wasting dengan atau tanpa stunting yang mendapatkan makanan tambahan berbahan pangan lokal sampai TW ini</t>
  </si>
  <si>
    <t>Jumlah seluruh balita usia 6-59 bulan dengan status pertumbuhan BB Tidak Naik (T) serta berat badan normal dengan atau tanpa stunting sampai TW ini</t>
  </si>
  <si>
    <t>Jumlah seluruh balita usia 6-59 bulan dengan status pertumbuhan BB Tidak Naik (T) serta berat badan normal dengan atau tanpa stunting yang mendapatkan makanan tambahan berbahan pangan lokal sampai TW ini</t>
  </si>
  <si>
    <t>Jumlah kasus gizi buruk bayi 0-5 Bulan sampai TW ini</t>
  </si>
  <si>
    <t>Jumlah Kasus Gizi Buruk bayi 0-5 Bulan mendapat perawatan sampai TW ini</t>
  </si>
  <si>
    <t>Jumlah kasus gizi buruk bayi 6-23 Bulan sampai TW ini</t>
  </si>
  <si>
    <t>Jumlah Kasus Gizi Buruk bayi 6-23 Bulan mendapat perawatan sampai TW ini</t>
  </si>
  <si>
    <t>Jumlah kasus gizi buruk bayi 24-59 Bulan sampai TW ini</t>
  </si>
  <si>
    <t>Jumlah Kasus Gizi Buruk bayi 24-59 Bulan mendapat perawatan sampai TW ini</t>
  </si>
  <si>
    <t>Jumlah kasus gizi buruk bayi 6-59 Bulan sampai TW ini</t>
  </si>
  <si>
    <t>Jumlah Kasus Gizi Buruk bayi 6-59 Bulan mendapat perawatan sampai TW ini</t>
  </si>
  <si>
    <t>Jumlah insiden balita stunting</t>
  </si>
  <si>
    <t>Jumlah balita stunting dirujuk Puskesmas ke RS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</si>
  <si>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</si>
  <si>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</si>
  <si>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</si>
  <si>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</si>
  <si>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</si>
  <si>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</si>
  <si>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</si>
  <si>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</si>
  <si>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</si>
  <si>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</si>
  <si>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</si>
  <si>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</si>
  <si>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</si>
  <si>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</si>
  <si>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</si>
  <si>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</si>
  <si>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</si>
  <si>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</si>
  <si>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</si>
  <si>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</si>
  <si>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</si>
  <si>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</si>
  <si>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</si>
  <si>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</si>
  <si>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</si>
  <si>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</si>
  <si>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</si>
  <si>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</si>
  <si>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</si>
  <si>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</si>
  <si>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</si>
  <si>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</si>
  <si>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</si>
  <si>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</si>
  <si>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</si>
  <si>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</si>
  <si>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</si>
  <si>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</si>
  <si>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97.23</t>
  </si>
  <si>
    <t>98.35</t>
  </si>
  <si>
    <t>97.01</t>
  </si>
  <si>
    <t>96.99</t>
  </si>
  <si>
    <t>98.19</t>
  </si>
  <si>
    <t>55.83</t>
  </si>
  <si>
    <t>99.21</t>
  </si>
  <si>
    <t>95.91</t>
  </si>
  <si>
    <t>97.94</t>
  </si>
  <si>
    <t>96.44</t>
  </si>
  <si>
    <t>91.97</t>
  </si>
  <si>
    <t>92.68</t>
  </si>
  <si>
    <t>-</t>
  </si>
  <si>
    <t>23.68</t>
  </si>
  <si>
    <t>27.67</t>
  </si>
  <si>
    <t>23.96</t>
  </si>
  <si>
    <t>99.11</t>
  </si>
  <si>
    <t>99.84</t>
  </si>
  <si>
    <t>99.09</t>
  </si>
  <si>
    <t>99.78</t>
  </si>
  <si>
    <t>51.71</t>
  </si>
  <si>
    <t>94.9</t>
  </si>
  <si>
    <t>98.95</t>
  </si>
  <si>
    <t>99.89</t>
  </si>
  <si>
    <t>99.4</t>
  </si>
  <si>
    <t>98.96</t>
  </si>
  <si>
    <t>65.42</t>
  </si>
  <si>
    <t>62.76</t>
  </si>
  <si>
    <t>96.98</t>
  </si>
  <si>
    <t>95.59</t>
  </si>
  <si>
    <t>96.97</t>
  </si>
  <si>
    <t>96.48</t>
  </si>
  <si>
    <t>95.58</t>
  </si>
  <si>
    <t>100.03</t>
  </si>
  <si>
    <t>52.06</t>
  </si>
  <si>
    <t>84.27</t>
  </si>
  <si>
    <t>99.95</t>
  </si>
  <si>
    <t>98.48</t>
  </si>
  <si>
    <t>6.45</t>
  </si>
  <si>
    <t>30.77</t>
  </si>
  <si>
    <t>21.23</t>
  </si>
  <si>
    <t>94.21</t>
  </si>
  <si>
    <t>95.13</t>
  </si>
  <si>
    <t>94.18</t>
  </si>
  <si>
    <t>95.11</t>
  </si>
  <si>
    <t>99.64</t>
  </si>
  <si>
    <t>78.92</t>
  </si>
  <si>
    <t>97.02</t>
  </si>
  <si>
    <t>98.69</t>
  </si>
  <si>
    <t>99.73</t>
  </si>
  <si>
    <t>99.35</t>
  </si>
  <si>
    <t>97.84</t>
  </si>
  <si>
    <t>18.18</t>
  </si>
  <si>
    <t>45.63</t>
  </si>
  <si>
    <t>97.57</t>
  </si>
  <si>
    <t>97.53</t>
  </si>
  <si>
    <t>98.62</t>
  </si>
  <si>
    <t>97.5</t>
  </si>
  <si>
    <t>98.66</t>
  </si>
  <si>
    <t>51.7</t>
  </si>
  <si>
    <t>85.34</t>
  </si>
  <si>
    <t>99.51</t>
  </si>
  <si>
    <t>98.85</t>
  </si>
  <si>
    <t>97.73</t>
  </si>
  <si>
    <t>97.9</t>
  </si>
  <si>
    <t>13.79</t>
  </si>
  <si>
    <t>98.86</t>
  </si>
  <si>
    <t>98.28</t>
  </si>
  <si>
    <t>97.51</t>
  </si>
  <si>
    <t>52.31</t>
  </si>
  <si>
    <t>87.48</t>
  </si>
  <si>
    <t>99.38</t>
  </si>
  <si>
    <t>99.81</t>
  </si>
  <si>
    <t>97.7</t>
  </si>
  <si>
    <t>96.03</t>
  </si>
  <si>
    <t>96.37</t>
  </si>
  <si>
    <t>22.5</t>
  </si>
  <si>
    <t>26.83</t>
  </si>
  <si>
    <t>96.79</t>
  </si>
  <si>
    <t>96.85</t>
  </si>
  <si>
    <t>97.15</t>
  </si>
  <si>
    <t>97.05</t>
  </si>
  <si>
    <t>96.69</t>
  </si>
  <si>
    <t>97.16</t>
  </si>
  <si>
    <t>49.73</t>
  </si>
  <si>
    <t>73.2</t>
  </si>
  <si>
    <t>99.42</t>
  </si>
  <si>
    <t>99.98</t>
  </si>
  <si>
    <t>99.76</t>
  </si>
  <si>
    <t>98.74</t>
  </si>
  <si>
    <t>22.22</t>
  </si>
  <si>
    <t>95.37</t>
  </si>
  <si>
    <t>95.84</t>
  </si>
  <si>
    <t>95.42</t>
  </si>
  <si>
    <t>95.41</t>
  </si>
  <si>
    <t>95.82</t>
  </si>
  <si>
    <t>50.25</t>
  </si>
  <si>
    <t>62.72</t>
  </si>
  <si>
    <t>97.42</t>
  </si>
  <si>
    <t>99.45</t>
  </si>
  <si>
    <t>97.96</t>
  </si>
  <si>
    <t>0.9</t>
  </si>
  <si>
    <t>97.83</t>
  </si>
  <si>
    <t>95.08</t>
  </si>
  <si>
    <t>95.19</t>
  </si>
  <si>
    <t>97.82</t>
  </si>
  <si>
    <t>61.3</t>
  </si>
  <si>
    <t>97.64</t>
  </si>
  <si>
    <t>98.81</t>
  </si>
  <si>
    <t>98.97</t>
  </si>
  <si>
    <t>98.61</t>
  </si>
  <si>
    <t>94.69</t>
  </si>
  <si>
    <t>51.92</t>
  </si>
  <si>
    <t>83.91</t>
  </si>
  <si>
    <t>96.31</t>
  </si>
  <si>
    <t>98.4</t>
  </si>
  <si>
    <t>98.6</t>
  </si>
  <si>
    <t>31.72</t>
  </si>
  <si>
    <t>31.78</t>
  </si>
  <si>
    <t>60.62</t>
  </si>
  <si>
    <t>89.61</t>
  </si>
  <si>
    <t>98.17</t>
  </si>
  <si>
    <t>75.86</t>
  </si>
  <si>
    <t>70.14</t>
  </si>
  <si>
    <t>99.5</t>
  </si>
  <si>
    <t>50.23</t>
  </si>
  <si>
    <t>40.46</t>
  </si>
  <si>
    <t>98.71</t>
  </si>
  <si>
    <t>97.72</t>
  </si>
  <si>
    <t>97.87</t>
  </si>
  <si>
    <t>58.33</t>
  </si>
  <si>
    <t>52.27</t>
  </si>
  <si>
    <t>33.64</t>
  </si>
  <si>
    <t>96.12</t>
  </si>
  <si>
    <t>95.1</t>
  </si>
  <si>
    <t>95.8</t>
  </si>
  <si>
    <t>95.2</t>
  </si>
  <si>
    <t>53.64</t>
  </si>
  <si>
    <t>78.33</t>
  </si>
  <si>
    <t>99.69</t>
  </si>
  <si>
    <t>97.08</t>
  </si>
  <si>
    <t>97.47</t>
  </si>
  <si>
    <t>71.43</t>
  </si>
  <si>
    <t>93.4</t>
  </si>
  <si>
    <t>93.47</t>
  </si>
  <si>
    <t>93.07</t>
  </si>
  <si>
    <t>93.52</t>
  </si>
  <si>
    <t>93.35</t>
  </si>
  <si>
    <t>93.48</t>
  </si>
  <si>
    <t>93.45</t>
  </si>
  <si>
    <t>53.55</t>
  </si>
  <si>
    <t>36.67</t>
  </si>
  <si>
    <t>97.79</t>
  </si>
  <si>
    <t>74.33</t>
  </si>
  <si>
    <t>77.53</t>
  </si>
  <si>
    <t>84.62</t>
  </si>
  <si>
    <t>94.04</t>
  </si>
  <si>
    <t>4.76</t>
  </si>
  <si>
    <t>92.59</t>
  </si>
  <si>
    <t>92.58</t>
  </si>
  <si>
    <t>94.64</t>
  </si>
  <si>
    <t>97.65</t>
  </si>
  <si>
    <t>54.47</t>
  </si>
  <si>
    <t>66.21</t>
  </si>
  <si>
    <t>84.13</t>
  </si>
  <si>
    <t>83.6</t>
  </si>
  <si>
    <t>89.88</t>
  </si>
  <si>
    <t>85.99</t>
  </si>
  <si>
    <t>77.94</t>
  </si>
  <si>
    <t>79.04</t>
  </si>
  <si>
    <t>55.56</t>
  </si>
  <si>
    <t>23.53</t>
  </si>
  <si>
    <t>18.97</t>
  </si>
  <si>
    <t>98.79</t>
  </si>
  <si>
    <t>99.17</t>
  </si>
  <si>
    <t>98.98</t>
  </si>
  <si>
    <t>99.2</t>
  </si>
  <si>
    <t>52.77</t>
  </si>
  <si>
    <t>72.95</t>
  </si>
  <si>
    <t>98.49</t>
  </si>
  <si>
    <t>94.98</t>
  </si>
  <si>
    <t>95.6</t>
  </si>
  <si>
    <t>89.6</t>
  </si>
  <si>
    <t>90.47</t>
  </si>
  <si>
    <t>89.51</t>
  </si>
  <si>
    <t>90.35</t>
  </si>
  <si>
    <t>90.07</t>
  </si>
  <si>
    <t>89.5</t>
  </si>
  <si>
    <t>90.39</t>
  </si>
  <si>
    <t>98.14</t>
  </si>
  <si>
    <t>51.77</t>
  </si>
  <si>
    <t>80.76</t>
  </si>
  <si>
    <t>99.29</t>
  </si>
  <si>
    <t>98.92</t>
  </si>
  <si>
    <t>17.39</t>
  </si>
  <si>
    <t>18.38</t>
  </si>
  <si>
    <t>22.06</t>
  </si>
  <si>
    <t>92.63</t>
  </si>
  <si>
    <t>92.91</t>
  </si>
  <si>
    <t>92.84</t>
  </si>
  <si>
    <t>92.55</t>
  </si>
  <si>
    <t>53.5</t>
  </si>
  <si>
    <t>97.43</t>
  </si>
  <si>
    <t>99.47</t>
  </si>
  <si>
    <t>98.3</t>
  </si>
  <si>
    <t>15.38</t>
  </si>
  <si>
    <t>27.59</t>
  </si>
  <si>
    <t>24.1</t>
  </si>
  <si>
    <t>98.53</t>
  </si>
  <si>
    <t>98.38</t>
  </si>
  <si>
    <t>98.01</t>
  </si>
  <si>
    <t>98.59</t>
  </si>
  <si>
    <t>70.31</t>
  </si>
  <si>
    <t>78.31</t>
  </si>
  <si>
    <t>99.05</t>
  </si>
  <si>
    <t>99.03</t>
  </si>
  <si>
    <t>98.23</t>
  </si>
  <si>
    <t>96.11</t>
  </si>
  <si>
    <t>96.5</t>
  </si>
  <si>
    <t>7.5</t>
  </si>
  <si>
    <t>14.96</t>
  </si>
  <si>
    <t>7.73</t>
  </si>
  <si>
    <t>96.75</t>
  </si>
  <si>
    <t>96.35</t>
  </si>
  <si>
    <t>96.82</t>
  </si>
  <si>
    <t>96.67</t>
  </si>
  <si>
    <t>96.16</t>
  </si>
  <si>
    <t>96.77</t>
  </si>
  <si>
    <t>60.47</t>
  </si>
  <si>
    <t>48.16</t>
  </si>
  <si>
    <t>96.89</t>
  </si>
  <si>
    <t>96.76</t>
  </si>
  <si>
    <t>97.04</t>
  </si>
  <si>
    <t>4.08</t>
  </si>
  <si>
    <t>8.61</t>
  </si>
  <si>
    <t>2.81</t>
  </si>
  <si>
    <t>99.72</t>
  </si>
  <si>
    <t>99.07</t>
  </si>
  <si>
    <t>62.54</t>
  </si>
  <si>
    <t>33.33</t>
  </si>
  <si>
    <t>66.67</t>
  </si>
  <si>
    <t>70.83</t>
  </si>
  <si>
    <t>96.39</t>
  </si>
  <si>
    <t>98.51</t>
  </si>
  <si>
    <t>96.46</t>
  </si>
  <si>
    <t>98.54</t>
  </si>
  <si>
    <t>54.26</t>
  </si>
  <si>
    <t>70.43</t>
  </si>
  <si>
    <t>94.87</t>
  </si>
  <si>
    <t>95.4</t>
  </si>
  <si>
    <t>97.38</t>
  </si>
  <si>
    <t>96.27</t>
  </si>
  <si>
    <t>93.29</t>
  </si>
  <si>
    <t>93.74</t>
  </si>
  <si>
    <t>97.93</t>
  </si>
  <si>
    <t>98.87</t>
  </si>
  <si>
    <t>98.07</t>
  </si>
  <si>
    <t>98.04</t>
  </si>
  <si>
    <t>91.6</t>
  </si>
  <si>
    <t>98.57</t>
  </si>
  <si>
    <t>99.08</t>
  </si>
  <si>
    <t>98.08</t>
  </si>
  <si>
    <t>96.25</t>
  </si>
  <si>
    <t>98.52</t>
  </si>
  <si>
    <t>96.47</t>
  </si>
  <si>
    <t>53.44</t>
  </si>
  <si>
    <t>86.51</t>
  </si>
  <si>
    <t>98.43</t>
  </si>
  <si>
    <t>99.22</t>
  </si>
  <si>
    <t>96.95</t>
  </si>
  <si>
    <t>97.25</t>
  </si>
  <si>
    <t>4.11</t>
  </si>
  <si>
    <t>8.9</t>
  </si>
  <si>
    <t>8.01</t>
  </si>
  <si>
    <t>95.18</t>
  </si>
  <si>
    <t>95.27</t>
  </si>
  <si>
    <t>95.45</t>
  </si>
  <si>
    <t>95.24</t>
  </si>
  <si>
    <t>95.36</t>
  </si>
  <si>
    <t>54.3</t>
  </si>
  <si>
    <t>86.45</t>
  </si>
  <si>
    <t>98.72</t>
  </si>
  <si>
    <t>13.04</t>
  </si>
  <si>
    <t>27.27</t>
  </si>
  <si>
    <t>93.26</t>
  </si>
  <si>
    <t>95.88</t>
  </si>
  <si>
    <t>93.18</t>
  </si>
  <si>
    <t>99.71</t>
  </si>
  <si>
    <t>85.56</t>
  </si>
  <si>
    <t>93.95</t>
  </si>
  <si>
    <t>278.57</t>
  </si>
  <si>
    <t>88.19</t>
  </si>
  <si>
    <t>78.03</t>
  </si>
  <si>
    <t>97.13</t>
  </si>
  <si>
    <t>97.09</t>
  </si>
  <si>
    <t>98.39</t>
  </si>
  <si>
    <t>53.36</t>
  </si>
  <si>
    <t>76.24</t>
  </si>
  <si>
    <t>90.22</t>
  </si>
  <si>
    <t>99.3</t>
  </si>
  <si>
    <t>92.78</t>
  </si>
  <si>
    <t>91.91</t>
  </si>
  <si>
    <t>92.04</t>
  </si>
  <si>
    <t>32.2</t>
  </si>
  <si>
    <t>38.24</t>
  </si>
  <si>
    <t>30.66</t>
  </si>
  <si>
    <t>93.24</t>
  </si>
  <si>
    <t>96.14</t>
  </si>
  <si>
    <t>93.21</t>
  </si>
  <si>
    <t>96.01</t>
  </si>
  <si>
    <t>54.32</t>
  </si>
  <si>
    <t>79.81</t>
  </si>
  <si>
    <t>98.25</t>
  </si>
  <si>
    <t>98.47</t>
  </si>
  <si>
    <t>75.63</t>
  </si>
  <si>
    <t>61.47</t>
  </si>
  <si>
    <t>90.49</t>
  </si>
  <si>
    <t>88.85</t>
  </si>
  <si>
    <t>90.44</t>
  </si>
  <si>
    <t>88.97</t>
  </si>
  <si>
    <t>89.49</t>
  </si>
  <si>
    <t>90.5</t>
  </si>
  <si>
    <t>53.21</t>
  </si>
  <si>
    <t>96.18</t>
  </si>
  <si>
    <t>82.27</t>
  </si>
  <si>
    <t>83.46</t>
  </si>
  <si>
    <t>93.9</t>
  </si>
  <si>
    <t>87.27</t>
  </si>
  <si>
    <t>81.24</t>
  </si>
  <si>
    <t>82.2</t>
  </si>
  <si>
    <t>3.64</t>
  </si>
  <si>
    <t>23.05</t>
  </si>
  <si>
    <t>93.92</t>
  </si>
  <si>
    <t>94.09</t>
  </si>
  <si>
    <t>50.77</t>
  </si>
  <si>
    <t>95.43</t>
  </si>
  <si>
    <t>95.21</t>
  </si>
  <si>
    <t>98.65</t>
  </si>
  <si>
    <t>98.7</t>
  </si>
  <si>
    <t>99.24</t>
  </si>
  <si>
    <t>56.65</t>
  </si>
  <si>
    <t>86.54</t>
  </si>
  <si>
    <t>92.41</t>
  </si>
  <si>
    <t>94.92</t>
  </si>
  <si>
    <t>53.33</t>
  </si>
  <si>
    <t>91.68</t>
  </si>
  <si>
    <t>95.66</t>
  </si>
  <si>
    <t>73.37</t>
  </si>
  <si>
    <t>87.53</t>
  </si>
  <si>
    <t>75.03</t>
  </si>
  <si>
    <t>76.98</t>
  </si>
  <si>
    <t>85.91</t>
  </si>
  <si>
    <t>91.26</t>
  </si>
  <si>
    <t>85.88</t>
  </si>
  <si>
    <t>91.17</t>
  </si>
  <si>
    <t>89.28</t>
  </si>
  <si>
    <t>74.76</t>
  </si>
  <si>
    <t>82.65</t>
  </si>
  <si>
    <t>95.97</t>
  </si>
  <si>
    <t>82.61</t>
  </si>
  <si>
    <t>104.15</t>
  </si>
  <si>
    <t>101.5</t>
  </si>
  <si>
    <t>90.62</t>
  </si>
  <si>
    <t>90.41</t>
  </si>
  <si>
    <t>90.27</t>
  </si>
  <si>
    <t>97.86</t>
  </si>
  <si>
    <t>50.73</t>
  </si>
  <si>
    <t>91.84</t>
  </si>
  <si>
    <t>99.28</t>
  </si>
  <si>
    <t>99.14</t>
  </si>
  <si>
    <t>94.99</t>
  </si>
  <si>
    <t>95.69</t>
  </si>
  <si>
    <t>63.64</t>
  </si>
  <si>
    <t>74.55</t>
  </si>
  <si>
    <t>97.61</t>
  </si>
  <si>
    <t>69.7</t>
  </si>
  <si>
    <t>99.43</t>
  </si>
  <si>
    <t>95.26</t>
  </si>
  <si>
    <t>95.93</t>
  </si>
  <si>
    <t>95.31</t>
  </si>
  <si>
    <t>96.61</t>
  </si>
  <si>
    <t>95.29</t>
  </si>
  <si>
    <t>96.59</t>
  </si>
  <si>
    <t>96.13</t>
  </si>
  <si>
    <t>95.28</t>
  </si>
  <si>
    <t>55.35</t>
  </si>
  <si>
    <t>74.78</t>
  </si>
  <si>
    <t>96.36</t>
  </si>
  <si>
    <t>98.31</t>
  </si>
  <si>
    <t>33.83</t>
  </si>
  <si>
    <t>41.3</t>
  </si>
  <si>
    <t>36.95</t>
  </si>
  <si>
    <t>tw3: 60</t>
  </si>
  <si>
    <t>TW3: 56,25</t>
  </si>
  <si>
    <t>≤0,5 %</t>
  </si>
  <si>
    <t>% K6</t>
  </si>
  <si>
    <t>% 12T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</si>
</sst>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name val="Arial"/>
      <family val="2"/>
    </font>
    <font>
      <b/>
      <sz val="12"/>
      <color rgb="FF000000"/>
      <name val="Arial"/>
      <family val="2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i/>
      <sz val="10.5"/>
      <color rgb="FF16B3AC"/>
      <name val="Arial"/>
      <family val="2"/>
    </font>
    <font>
      <b/>
      <sz val="10.5"/>
      <color rgb="FF000000"/>
      <name val="Arial"/>
      <family val="2"/>
    </font>
    <font>
      <b/>
      <i/>
      <sz val="10.5"/>
      <color rgb="FF13AE97"/>
      <name val="Arial"/>
      <family val="2"/>
    </font>
    <font>
      <b/>
      <sz val="12"/>
      <name val="Arial"/>
      <family val="2"/>
    </font>
    <font>
      <b/>
      <sz val="11"/>
      <color rgb="FF000000"/>
      <name val="Century Gothic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333333"/>
      <name val="Calibri"/>
      <family val="2"/>
    </font>
    <font>
      <b/>
      <sz val="11"/>
      <color rgb="FF333333"/>
      <name val="Calibri"/>
      <family val="2"/>
    </font>
    <font>
      <b/>
      <sz val="9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2"/>
      <color rgb="FFFFFFFF"/>
      <name val="Century Gothic"/>
      <family val="2"/>
    </font>
    <font>
      <b/>
      <sz val="10"/>
      <color rgb="FFFFFFFF"/>
      <name val="Century Gothic"/>
      <family val="2"/>
    </font>
    <font>
      <b/>
      <sz val="15"/>
      <color rgb="FF000000"/>
      <name val="Century Gothic"/>
      <family val="2"/>
    </font>
    <font>
      <sz val="11"/>
      <color rgb="FF000000"/>
      <name val="Century Gothic"/>
      <family val="2"/>
    </font>
    <font>
      <sz val="11"/>
      <name val="Calibri"/>
      <family val="2"/>
    </font>
    <font>
      <sz val="9"/>
      <color rgb="FF000000"/>
      <name val="Trebuchet MS"/>
      <family val="2"/>
    </font>
    <font>
      <b/>
      <sz val="9"/>
      <color rgb="FF000000"/>
      <name val="Trebuchet MS"/>
      <family val="2"/>
    </font>
    <font>
      <b/>
      <sz val="12"/>
      <name val="Century Gothic"/>
      <family val="2"/>
    </font>
    <font>
      <sz val="7"/>
      <color rgb="FF0F172A"/>
      <name val="Segoe UI"/>
      <family val="2"/>
    </font>
  </fonts>
  <fills count="5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6B3AC"/>
        <bgColor indexed="64"/>
      </patternFill>
    </fill>
    <fill>
      <patternFill patternType="solid">
        <fgColor rgb="FFFCFEC6"/>
        <bgColor indexed="64"/>
      </patternFill>
    </fill>
    <fill>
      <patternFill patternType="solid">
        <fgColor rgb="FFC9EFFE"/>
        <bgColor indexed="64"/>
      </patternFill>
    </fill>
    <fill>
      <patternFill patternType="solid">
        <fgColor rgb="FFC4FFF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F2F2F2"/>
      </left>
      <right style="medium">
        <color rgb="FFF2F2F2"/>
      </right>
      <top style="medium">
        <color rgb="FFF2F2F2"/>
      </top>
      <bottom style="medium">
        <color rgb="FFF2F2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/>
      <diagonal/>
    </border>
    <border>
      <left style="medium">
        <color rgb="FFD9D9D9"/>
      </left>
      <right style="medium">
        <color rgb="FFD9D9D9"/>
      </right>
      <top/>
      <bottom/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 style="medium">
        <color rgb="FFD9D9D9"/>
      </left>
      <right/>
      <top style="medium">
        <color rgb="FFD9D9D9"/>
      </top>
      <bottom/>
      <diagonal/>
    </border>
    <border>
      <left/>
      <right style="medium">
        <color rgb="FFD9D9D9"/>
      </right>
      <top style="medium">
        <color rgb="FFD9D9D9"/>
      </top>
      <bottom/>
      <diagonal/>
    </border>
    <border>
      <left style="medium">
        <color rgb="FFD9D9D9"/>
      </left>
      <right/>
      <top/>
      <bottom/>
      <diagonal/>
    </border>
    <border>
      <left/>
      <right style="medium">
        <color rgb="FFD9D9D9"/>
      </right>
      <top/>
      <bottom/>
      <diagonal/>
    </border>
    <border>
      <left style="medium">
        <color rgb="FFD9D9D9"/>
      </left>
      <right/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medium">
        <color rgb="FFD9D9D9"/>
      </left>
      <right/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/>
      <right/>
      <top/>
      <bottom style="medium">
        <color rgb="FFD9D9D9"/>
      </bottom>
      <diagonal/>
    </border>
    <border>
      <left/>
      <right/>
      <top style="medium">
        <color rgb="FFD9D9D9"/>
      </top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double">
        <color indexed="64"/>
      </bottom>
      <diagonal/>
    </border>
    <border>
      <left style="medium">
        <color rgb="FFD9D9D9"/>
      </left>
      <right style="medium">
        <color rgb="FFD9D9D9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D9D9D9"/>
      </left>
      <right/>
      <top style="thin">
        <color indexed="64"/>
      </top>
      <bottom style="medium">
        <color rgb="FFD9D9D9"/>
      </bottom>
      <diagonal/>
    </border>
    <border>
      <left/>
      <right/>
      <top style="thin">
        <color indexed="64"/>
      </top>
      <bottom style="medium">
        <color rgb="FFD9D9D9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4" fillId="0" borderId="0"/>
    <xf numFmtId="0" fontId="44" fillId="0" borderId="0"/>
    <xf numFmtId="43" fontId="1" fillId="0" borderId="0" applyFont="0" applyFill="0" applyBorder="0" applyAlignment="0" applyProtection="0"/>
  </cellStyleXfs>
  <cellXfs count="235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2" fillId="0" borderId="0" xfId="0" applyFont="1"/>
    <xf numFmtId="0" fontId="20" fillId="39" borderId="0" xfId="0" applyFont="1" applyFill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 readingOrder="1"/>
    </xf>
    <xf numFmtId="0" fontId="23" fillId="0" borderId="0" xfId="0" applyFont="1" applyAlignment="1">
      <alignment horizontal="center" vertical="center"/>
    </xf>
    <xf numFmtId="0" fontId="23" fillId="0" borderId="0" xfId="0" applyFont="1"/>
    <xf numFmtId="0" fontId="24" fillId="35" borderId="10" xfId="0" applyFont="1" applyFill="1" applyBorder="1" applyAlignment="1">
      <alignment horizontal="left" vertical="center" wrapText="1" readingOrder="1"/>
    </xf>
    <xf numFmtId="9" fontId="25" fillId="0" borderId="10" xfId="0" applyNumberFormat="1" applyFont="1" applyBorder="1" applyAlignment="1">
      <alignment horizontal="center" vertical="center" wrapText="1" readingOrder="1"/>
    </xf>
    <xf numFmtId="0" fontId="25" fillId="0" borderId="10" xfId="0" applyFont="1" applyBorder="1" applyAlignment="1">
      <alignment horizontal="center" vertical="center" wrapText="1" readingOrder="1"/>
    </xf>
    <xf numFmtId="0" fontId="25" fillId="37" borderId="10" xfId="0" applyFont="1" applyFill="1" applyBorder="1" applyAlignment="1">
      <alignment horizontal="left" vertical="center" wrapText="1" readingOrder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0" fillId="0" borderId="11" xfId="0" applyBorder="1" applyAlignment="1">
      <alignment wrapText="1"/>
    </xf>
    <xf numFmtId="0" fontId="16" fillId="0" borderId="11" xfId="0" applyFont="1" applyBorder="1" applyAlignment="1">
      <alignment vertical="center" wrapText="1"/>
    </xf>
    <xf numFmtId="0" fontId="16" fillId="0" borderId="0" xfId="0" applyFont="1" applyAlignment="1">
      <alignment vertical="center"/>
    </xf>
    <xf numFmtId="2" fontId="0" fillId="0" borderId="11" xfId="0" applyNumberFormat="1" applyBorder="1" applyAlignment="1">
      <alignment wrapText="1"/>
    </xf>
    <xf numFmtId="2" fontId="16" fillId="0" borderId="11" xfId="0" applyNumberFormat="1" applyFont="1" applyBorder="1" applyAlignment="1">
      <alignment vertical="center" wrapText="1"/>
    </xf>
    <xf numFmtId="0" fontId="26" fillId="36" borderId="10" xfId="0" applyFont="1" applyFill="1" applyBorder="1" applyAlignment="1">
      <alignment horizontal="center" vertical="center" wrapText="1" readingOrder="1"/>
    </xf>
    <xf numFmtId="0" fontId="27" fillId="36" borderId="10" xfId="0" applyFont="1" applyFill="1" applyBorder="1" applyAlignment="1">
      <alignment horizontal="center" vertical="center" wrapText="1" readingOrder="1"/>
    </xf>
    <xf numFmtId="0" fontId="28" fillId="36" borderId="10" xfId="0" applyFont="1" applyFill="1" applyBorder="1" applyAlignment="1">
      <alignment horizontal="center" vertical="center" wrapText="1" readingOrder="1"/>
    </xf>
    <xf numFmtId="2" fontId="29" fillId="41" borderId="10" xfId="0" applyNumberFormat="1" applyFont="1" applyFill="1" applyBorder="1" applyAlignment="1">
      <alignment horizontal="center" vertical="center" wrapText="1"/>
    </xf>
    <xf numFmtId="2" fontId="19" fillId="41" borderId="10" xfId="0" applyNumberFormat="1" applyFont="1" applyFill="1" applyBorder="1" applyAlignment="1">
      <alignment horizontal="center" vertical="center" wrapText="1" readingOrder="1"/>
    </xf>
    <xf numFmtId="0" fontId="30" fillId="41" borderId="10" xfId="0" applyFont="1" applyFill="1" applyBorder="1" applyAlignment="1">
      <alignment horizontal="center" vertical="center" wrapText="1" readingOrder="1"/>
    </xf>
    <xf numFmtId="0" fontId="0" fillId="0" borderId="11" xfId="0" applyBorder="1" applyAlignment="1">
      <alignment horizontal="center" wrapText="1"/>
    </xf>
    <xf numFmtId="164" fontId="0" fillId="0" borderId="11" xfId="42" applyNumberFormat="1" applyFont="1" applyBorder="1" applyAlignment="1">
      <alignment wrapText="1"/>
    </xf>
    <xf numFmtId="0" fontId="0" fillId="33" borderId="11" xfId="0" applyFill="1" applyBorder="1" applyAlignment="1">
      <alignment wrapText="1"/>
    </xf>
    <xf numFmtId="164" fontId="16" fillId="0" borderId="11" xfId="42" applyNumberFormat="1" applyFont="1" applyBorder="1" applyAlignment="1">
      <alignment vertical="center" wrapText="1"/>
    </xf>
    <xf numFmtId="0" fontId="0" fillId="0" borderId="0" xfId="0" applyAlignment="1">
      <alignment horizontal="center"/>
    </xf>
    <xf numFmtId="2" fontId="25" fillId="41" borderId="10" xfId="0" applyNumberFormat="1" applyFont="1" applyFill="1" applyBorder="1" applyAlignment="1">
      <alignment horizontal="center" vertical="center" wrapText="1" readingOrder="1"/>
    </xf>
    <xf numFmtId="164" fontId="20" fillId="0" borderId="0" xfId="42" applyNumberFormat="1" applyFont="1" applyAlignment="1">
      <alignment horizontal="center" vertical="center" wrapText="1"/>
    </xf>
    <xf numFmtId="164" fontId="25" fillId="0" borderId="10" xfId="42" applyNumberFormat="1" applyFont="1" applyBorder="1" applyAlignment="1">
      <alignment horizontal="center" vertical="center" wrapText="1" readingOrder="1"/>
    </xf>
    <xf numFmtId="164" fontId="23" fillId="0" borderId="0" xfId="42" applyNumberFormat="1" applyFont="1"/>
    <xf numFmtId="0" fontId="16" fillId="41" borderId="0" xfId="0" applyFont="1" applyFill="1"/>
    <xf numFmtId="0" fontId="16" fillId="0" borderId="14" xfId="0" applyFont="1" applyBorder="1" applyAlignment="1">
      <alignment vertical="center" wrapText="1"/>
    </xf>
    <xf numFmtId="0" fontId="16" fillId="41" borderId="15" xfId="0" applyFont="1" applyFill="1" applyBorder="1"/>
    <xf numFmtId="0" fontId="16" fillId="41" borderId="15" xfId="0" applyFont="1" applyFill="1" applyBorder="1" applyAlignment="1">
      <alignment horizontal="center"/>
    </xf>
    <xf numFmtId="37" fontId="32" fillId="0" borderId="11" xfId="0" applyNumberFormat="1" applyFont="1" applyBorder="1" applyAlignment="1">
      <alignment horizontal="right"/>
    </xf>
    <xf numFmtId="3" fontId="32" fillId="0" borderId="11" xfId="0" applyNumberFormat="1" applyFont="1" applyBorder="1" applyAlignment="1">
      <alignment horizontal="right"/>
    </xf>
    <xf numFmtId="2" fontId="34" fillId="0" borderId="11" xfId="0" applyNumberFormat="1" applyFont="1" applyBorder="1" applyAlignment="1">
      <alignment horizontal="right"/>
    </xf>
    <xf numFmtId="37" fontId="31" fillId="0" borderId="11" xfId="0" applyNumberFormat="1" applyFont="1" applyBorder="1" applyAlignment="1">
      <alignment horizontal="right" vertical="center"/>
    </xf>
    <xf numFmtId="3" fontId="31" fillId="0" borderId="11" xfId="0" applyNumberFormat="1" applyFont="1" applyBorder="1" applyAlignment="1">
      <alignment horizontal="right" vertical="center"/>
    </xf>
    <xf numFmtId="2" fontId="35" fillId="0" borderId="11" xfId="0" applyNumberFormat="1" applyFont="1" applyBorder="1" applyAlignment="1">
      <alignment horizontal="right" vertical="center"/>
    </xf>
    <xf numFmtId="0" fontId="0" fillId="0" borderId="15" xfId="0" applyBorder="1" applyAlignment="1">
      <alignment horizontal="center" wrapText="1"/>
    </xf>
    <xf numFmtId="0" fontId="0" fillId="0" borderId="15" xfId="0" applyBorder="1" applyAlignment="1">
      <alignment wrapText="1"/>
    </xf>
    <xf numFmtId="164" fontId="0" fillId="0" borderId="15" xfId="42" applyNumberFormat="1" applyFont="1" applyBorder="1" applyAlignment="1">
      <alignment wrapText="1"/>
    </xf>
    <xf numFmtId="2" fontId="0" fillId="0" borderId="15" xfId="0" applyNumberFormat="1" applyBorder="1" applyAlignment="1">
      <alignment wrapText="1"/>
    </xf>
    <xf numFmtId="37" fontId="32" fillId="0" borderId="15" xfId="0" applyNumberFormat="1" applyFont="1" applyBorder="1" applyAlignment="1">
      <alignment horizontal="right"/>
    </xf>
    <xf numFmtId="3" fontId="32" fillId="0" borderId="15" xfId="0" applyNumberFormat="1" applyFont="1" applyBorder="1" applyAlignment="1">
      <alignment horizontal="right"/>
    </xf>
    <xf numFmtId="2" fontId="34" fillId="0" borderId="15" xfId="0" applyNumberFormat="1" applyFont="1" applyBorder="1" applyAlignment="1">
      <alignment horizontal="right"/>
    </xf>
    <xf numFmtId="0" fontId="16" fillId="0" borderId="18" xfId="0" applyFont="1" applyBorder="1" applyAlignment="1">
      <alignment horizontal="center" vertical="center" wrapText="1"/>
    </xf>
    <xf numFmtId="0" fontId="16" fillId="40" borderId="18" xfId="0" applyFont="1" applyFill="1" applyBorder="1" applyAlignment="1">
      <alignment horizontal="center" vertical="center" wrapText="1"/>
    </xf>
    <xf numFmtId="0" fontId="16" fillId="42" borderId="18" xfId="0" applyFont="1" applyFill="1" applyBorder="1" applyAlignment="1">
      <alignment horizontal="center" vertical="center" wrapText="1"/>
    </xf>
    <xf numFmtId="0" fontId="16" fillId="0" borderId="0" xfId="0" applyFont="1"/>
    <xf numFmtId="0" fontId="16" fillId="0" borderId="18" xfId="0" applyFont="1" applyBorder="1" applyAlignment="1">
      <alignment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164" fontId="0" fillId="0" borderId="15" xfId="42" applyNumberFormat="1" applyFont="1" applyBorder="1" applyAlignment="1">
      <alignment horizontal="center" wrapText="1"/>
    </xf>
    <xf numFmtId="164" fontId="0" fillId="0" borderId="11" xfId="42" applyNumberFormat="1" applyFont="1" applyBorder="1" applyAlignment="1">
      <alignment horizontal="center" wrapText="1"/>
    </xf>
    <xf numFmtId="164" fontId="16" fillId="0" borderId="11" xfId="42" applyNumberFormat="1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wrapText="1"/>
    </xf>
    <xf numFmtId="0" fontId="16" fillId="0" borderId="15" xfId="0" applyFont="1" applyBorder="1" applyAlignment="1">
      <alignment vertical="center"/>
    </xf>
    <xf numFmtId="0" fontId="16" fillId="0" borderId="11" xfId="0" applyFont="1" applyBorder="1" applyAlignment="1">
      <alignment horizontal="center" vertical="center"/>
    </xf>
    <xf numFmtId="164" fontId="0" fillId="0" borderId="15" xfId="42" applyNumberFormat="1" applyFont="1" applyFill="1" applyBorder="1"/>
    <xf numFmtId="164" fontId="1" fillId="0" borderId="15" xfId="42" applyNumberFormat="1" applyFont="1" applyFill="1" applyBorder="1"/>
    <xf numFmtId="164" fontId="16" fillId="0" borderId="15" xfId="42" applyNumberFormat="1" applyFont="1" applyFill="1" applyBorder="1" applyAlignment="1">
      <alignment vertical="center"/>
    </xf>
    <xf numFmtId="43" fontId="0" fillId="0" borderId="15" xfId="42" applyFont="1" applyFill="1" applyBorder="1"/>
    <xf numFmtId="0" fontId="31" fillId="0" borderId="0" xfId="0" applyFont="1"/>
    <xf numFmtId="0" fontId="30" fillId="0" borderId="19" xfId="0" applyFont="1" applyBorder="1" applyAlignment="1">
      <alignment horizontal="left" vertical="center" wrapText="1" readingOrder="1"/>
    </xf>
    <xf numFmtId="0" fontId="43" fillId="0" borderId="19" xfId="0" applyFont="1" applyBorder="1" applyAlignment="1">
      <alignment horizontal="center" vertical="center" wrapText="1" readingOrder="1"/>
    </xf>
    <xf numFmtId="0" fontId="43" fillId="0" borderId="19" xfId="0" applyFont="1" applyBorder="1" applyAlignment="1">
      <alignment horizontal="left" vertical="center" wrapText="1" readingOrder="1"/>
    </xf>
    <xf numFmtId="0" fontId="16" fillId="0" borderId="11" xfId="0" applyFont="1" applyBorder="1" applyAlignment="1">
      <alignment wrapText="1"/>
    </xf>
    <xf numFmtId="164" fontId="16" fillId="0" borderId="11" xfId="42" applyNumberFormat="1" applyFont="1" applyBorder="1" applyAlignment="1">
      <alignment wrapText="1"/>
    </xf>
    <xf numFmtId="2" fontId="16" fillId="0" borderId="11" xfId="0" applyNumberFormat="1" applyFont="1" applyBorder="1" applyAlignment="1">
      <alignment wrapText="1"/>
    </xf>
    <xf numFmtId="43" fontId="0" fillId="0" borderId="11" xfId="0" applyNumberFormat="1" applyBorder="1" applyAlignment="1">
      <alignment wrapText="1"/>
    </xf>
    <xf numFmtId="43" fontId="16" fillId="0" borderId="11" xfId="0" applyNumberFormat="1" applyFont="1" applyBorder="1" applyAlignment="1">
      <alignment wrapText="1"/>
    </xf>
    <xf numFmtId="43" fontId="16" fillId="0" borderId="15" xfId="42" applyFont="1" applyFill="1" applyBorder="1" applyAlignment="1">
      <alignment vertical="center"/>
    </xf>
    <xf numFmtId="164" fontId="16" fillId="0" borderId="15" xfId="42" applyNumberFormat="1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33" fillId="0" borderId="15" xfId="0" applyFont="1" applyBorder="1" applyAlignment="1">
      <alignment horizontal="center"/>
    </xf>
    <xf numFmtId="0" fontId="33" fillId="0" borderId="15" xfId="0" applyFont="1" applyBorder="1" applyAlignment="1">
      <alignment horizontal="center" vertical="center"/>
    </xf>
    <xf numFmtId="0" fontId="33" fillId="33" borderId="15" xfId="0" applyFont="1" applyFill="1" applyBorder="1" applyAlignment="1">
      <alignment horizontal="center"/>
    </xf>
    <xf numFmtId="0" fontId="0" fillId="33" borderId="15" xfId="0" applyFill="1" applyBorder="1" applyAlignment="1">
      <alignment wrapText="1"/>
    </xf>
    <xf numFmtId="43" fontId="0" fillId="0" borderId="15" xfId="0" applyNumberFormat="1" applyBorder="1" applyAlignment="1">
      <alignment wrapText="1"/>
    </xf>
    <xf numFmtId="0" fontId="36" fillId="0" borderId="33" xfId="0" applyFont="1" applyBorder="1" applyAlignment="1">
      <alignment horizontal="center" wrapText="1" readingOrder="1"/>
    </xf>
    <xf numFmtId="0" fontId="37" fillId="0" borderId="33" xfId="0" applyFont="1" applyBorder="1" applyAlignment="1">
      <alignment horizontal="center" wrapText="1" readingOrder="1"/>
    </xf>
    <xf numFmtId="0" fontId="33" fillId="39" borderId="15" xfId="0" applyFont="1" applyFill="1" applyBorder="1" applyAlignment="1">
      <alignment horizontal="center"/>
    </xf>
    <xf numFmtId="0" fontId="16" fillId="0" borderId="35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wrapText="1"/>
    </xf>
    <xf numFmtId="0" fontId="30" fillId="34" borderId="10" xfId="0" applyFont="1" applyFill="1" applyBorder="1" applyAlignment="1">
      <alignment horizontal="center" vertical="center" wrapText="1" readingOrder="1"/>
    </xf>
    <xf numFmtId="0" fontId="19" fillId="34" borderId="10" xfId="0" applyFont="1" applyFill="1" applyBorder="1" applyAlignment="1">
      <alignment horizontal="center" vertical="center" wrapText="1" readingOrder="1"/>
    </xf>
    <xf numFmtId="2" fontId="25" fillId="34" borderId="10" xfId="0" applyNumberFormat="1" applyFont="1" applyFill="1" applyBorder="1" applyAlignment="1">
      <alignment horizontal="center" vertical="center" wrapText="1" readingOrder="1"/>
    </xf>
    <xf numFmtId="2" fontId="19" fillId="34" borderId="10" xfId="0" applyNumberFormat="1" applyFont="1" applyFill="1" applyBorder="1" applyAlignment="1">
      <alignment horizontal="center" vertical="center" wrapText="1" readingOrder="1"/>
    </xf>
    <xf numFmtId="0" fontId="25" fillId="34" borderId="10" xfId="0" applyFont="1" applyFill="1" applyBorder="1" applyAlignment="1">
      <alignment horizontal="center" vertical="center" wrapText="1" readingOrder="1"/>
    </xf>
    <xf numFmtId="0" fontId="0" fillId="47" borderId="0" xfId="0" applyFill="1" applyAlignment="1">
      <alignment wrapText="1"/>
    </xf>
    <xf numFmtId="0" fontId="17" fillId="0" borderId="0" xfId="0" applyFont="1"/>
    <xf numFmtId="39" fontId="0" fillId="0" borderId="0" xfId="0" applyNumberFormat="1"/>
    <xf numFmtId="37" fontId="0" fillId="0" borderId="0" xfId="0" applyNumberFormat="1"/>
    <xf numFmtId="43" fontId="0" fillId="48" borderId="0" xfId="0" applyNumberFormat="1" applyFill="1" applyAlignment="1">
      <alignment wrapText="1"/>
    </xf>
    <xf numFmtId="0" fontId="0" fillId="48" borderId="11" xfId="0" applyFill="1" applyBorder="1" applyAlignment="1">
      <alignment wrapText="1"/>
    </xf>
    <xf numFmtId="0" fontId="16" fillId="47" borderId="0" xfId="0" applyFont="1" applyFill="1" applyAlignment="1">
      <alignment wrapText="1"/>
    </xf>
    <xf numFmtId="0" fontId="16" fillId="40" borderId="0" xfId="0" applyFont="1" applyFill="1" applyAlignment="1">
      <alignment horizontal="center" vertical="center" wrapText="1"/>
    </xf>
    <xf numFmtId="0" fontId="41" fillId="43" borderId="22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wrapText="1"/>
    </xf>
    <xf numFmtId="164" fontId="16" fillId="40" borderId="0" xfId="42" applyNumberFormat="1" applyFont="1" applyFill="1" applyAlignment="1">
      <alignment wrapText="1"/>
    </xf>
    <xf numFmtId="0" fontId="16" fillId="40" borderId="0" xfId="0" applyFont="1" applyFill="1" applyAlignment="1">
      <alignment wrapText="1"/>
    </xf>
    <xf numFmtId="0" fontId="41" fillId="43" borderId="20" xfId="0" applyFont="1" applyFill="1" applyBorder="1" applyAlignment="1">
      <alignment horizontal="center" vertical="center" wrapText="1" readingOrder="1"/>
    </xf>
    <xf numFmtId="0" fontId="0" fillId="40" borderId="0" xfId="0" applyFill="1" applyAlignment="1">
      <alignment wrapText="1"/>
    </xf>
    <xf numFmtId="164" fontId="0" fillId="47" borderId="0" xfId="42" applyNumberFormat="1" applyFont="1" applyFill="1" applyAlignment="1">
      <alignment wrapText="1"/>
    </xf>
    <xf numFmtId="0" fontId="46" fillId="0" borderId="11" xfId="44" applyFont="1" applyBorder="1" applyAlignment="1">
      <alignment horizontal="center"/>
    </xf>
    <xf numFmtId="37" fontId="45" fillId="0" borderId="11" xfId="45" applyNumberFormat="1" applyFont="1" applyBorder="1" applyAlignment="1">
      <alignment horizontal="center"/>
    </xf>
    <xf numFmtId="0" fontId="45" fillId="0" borderId="11" xfId="45" applyFont="1" applyBorder="1" applyAlignment="1">
      <alignment horizontal="left" vertical="top"/>
    </xf>
    <xf numFmtId="0" fontId="44" fillId="0" borderId="11" xfId="45" applyBorder="1"/>
    <xf numFmtId="37" fontId="45" fillId="0" borderId="11" xfId="44" applyNumberFormat="1" applyFont="1" applyBorder="1" applyAlignment="1">
      <alignment horizontal="center"/>
    </xf>
    <xf numFmtId="0" fontId="45" fillId="0" borderId="11" xfId="45" applyFont="1" applyBorder="1" applyAlignment="1">
      <alignment horizontal="center"/>
    </xf>
    <xf numFmtId="3" fontId="45" fillId="0" borderId="11" xfId="45" applyNumberFormat="1" applyFont="1" applyBorder="1" applyAlignment="1">
      <alignment horizontal="center"/>
    </xf>
    <xf numFmtId="3" fontId="45" fillId="0" borderId="11" xfId="44" applyNumberFormat="1" applyFont="1" applyBorder="1" applyAlignment="1">
      <alignment horizontal="center"/>
    </xf>
    <xf numFmtId="10" fontId="45" fillId="0" borderId="11" xfId="44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16" fillId="47" borderId="0" xfId="0" applyFont="1" applyFill="1" applyAlignment="1">
      <alignment horizontal="center" vertical="center" wrapText="1"/>
    </xf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33" borderId="0" xfId="0" applyFill="1" applyAlignment="1">
      <alignment wrapText="1"/>
    </xf>
    <xf numFmtId="0" fontId="16" fillId="48" borderId="0" xfId="0" applyFont="1" applyFill="1" applyAlignment="1">
      <alignment horizontal="center" vertical="center" wrapText="1"/>
    </xf>
    <xf numFmtId="0" fontId="0" fillId="48" borderId="0" xfId="0" applyFill="1" applyAlignment="1">
      <alignment wrapText="1"/>
    </xf>
    <xf numFmtId="0" fontId="16" fillId="48" borderId="0" xfId="0" applyFont="1" applyFill="1" applyAlignment="1">
      <alignment wrapText="1"/>
    </xf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48" borderId="0" xfId="0" applyFont="1" applyFill="1" applyAlignment="1">
      <alignment horizontal="center" vertical="center" wrapText="1"/>
    </xf>
    <xf numFmtId="0" fontId="0" fillId="48" borderId="0" xfId="0" applyFill="1" applyAlignment="1">
      <alignment wrapText="1"/>
    </xf>
    <xf numFmtId="0" fontId="0" fillId="0" borderId="0" xfId="0" applyAlignment="1">
      <alignment horizontal="left" wrapText="1"/>
    </xf>
    <xf numFmtId="164" fontId="0" fillId="40" borderId="0" xfId="42" applyNumberFormat="1" applyFont="1" applyFill="1" applyAlignment="1">
      <alignment wrapText="1"/>
    </xf>
    <xf numFmtId="39" fontId="0" fillId="0" borderId="11" xfId="0" applyNumberFormat="1" applyBorder="1"/>
    <xf numFmtId="0" fontId="33" fillId="0" borderId="15" xfId="0" applyFont="1" applyFill="1" applyBorder="1" applyAlignment="1">
      <alignment horizontal="center"/>
    </xf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33" borderId="0" xfId="0" applyFill="1" applyAlignment="1">
      <alignment wrapText="1"/>
    </xf>
    <xf numFmtId="0" fontId="16" fillId="48" borderId="0" xfId="0" applyFont="1" applyFill="1" applyAlignment="1">
      <alignment horizontal="center" vertical="center" wrapText="1"/>
    </xf>
    <xf numFmtId="0" fontId="0" fillId="48" borderId="0" xfId="0" applyFill="1" applyAlignment="1">
      <alignment wrapText="1"/>
    </xf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33" borderId="0" xfId="0" applyFill="1" applyAlignment="1">
      <alignment wrapText="1"/>
    </xf>
    <xf numFmtId="0" fontId="16" fillId="48" borderId="0" xfId="0" applyFont="1" applyFill="1" applyAlignment="1">
      <alignment horizontal="center" vertical="center" wrapText="1"/>
    </xf>
    <xf numFmtId="0" fontId="0" fillId="48" borderId="0" xfId="0" applyFill="1" applyAlignment="1">
      <alignment wrapText="1"/>
    </xf>
    <xf numFmtId="164" fontId="0" fillId="0" borderId="0" xfId="46" applyNumberFormat="1" applyFont="1" applyAlignment="1">
      <alignment wrapText="1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 wrapText="1"/>
    </xf>
    <xf numFmtId="0" fontId="16" fillId="0" borderId="0" xfId="0" applyFont="1" applyAlignment="1">
      <alignment horizontal="left"/>
    </xf>
    <xf numFmtId="0" fontId="16" fillId="0" borderId="0" xfId="0" applyFont="1"/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39" fillId="44" borderId="29" xfId="0" applyFont="1" applyFill="1" applyBorder="1" applyAlignment="1">
      <alignment horizontal="center" vertical="center" wrapText="1"/>
    </xf>
    <xf numFmtId="0" fontId="39" fillId="44" borderId="30" xfId="0" applyFont="1" applyFill="1" applyBorder="1" applyAlignment="1">
      <alignment horizontal="center" vertical="center" wrapText="1"/>
    </xf>
    <xf numFmtId="0" fontId="38" fillId="44" borderId="29" xfId="0" applyFont="1" applyFill="1" applyBorder="1" applyAlignment="1">
      <alignment horizontal="center" vertical="center" wrapText="1" readingOrder="1"/>
    </xf>
    <xf numFmtId="0" fontId="38" fillId="44" borderId="30" xfId="0" applyFont="1" applyFill="1" applyBorder="1" applyAlignment="1">
      <alignment horizontal="center" vertical="center" wrapText="1" readingOrder="1"/>
    </xf>
    <xf numFmtId="0" fontId="30" fillId="44" borderId="23" xfId="0" applyFont="1" applyFill="1" applyBorder="1" applyAlignment="1">
      <alignment horizontal="center" wrapText="1" readingOrder="1"/>
    </xf>
    <xf numFmtId="0" fontId="30" fillId="44" borderId="24" xfId="0" applyFont="1" applyFill="1" applyBorder="1" applyAlignment="1">
      <alignment horizontal="center" wrapText="1" readingOrder="1"/>
    </xf>
    <xf numFmtId="0" fontId="30" fillId="44" borderId="25" xfId="0" applyFont="1" applyFill="1" applyBorder="1" applyAlignment="1">
      <alignment horizontal="center" wrapText="1" readingOrder="1"/>
    </xf>
    <xf numFmtId="0" fontId="30" fillId="44" borderId="26" xfId="0" applyFont="1" applyFill="1" applyBorder="1" applyAlignment="1">
      <alignment horizontal="center" wrapText="1" readingOrder="1"/>
    </xf>
    <xf numFmtId="0" fontId="36" fillId="44" borderId="27" xfId="0" applyFont="1" applyFill="1" applyBorder="1" applyAlignment="1">
      <alignment horizontal="center" wrapText="1" readingOrder="1"/>
    </xf>
    <xf numFmtId="0" fontId="36" fillId="44" borderId="28" xfId="0" applyFont="1" applyFill="1" applyBorder="1" applyAlignment="1">
      <alignment horizontal="center" wrapText="1" readingOrder="1"/>
    </xf>
    <xf numFmtId="0" fontId="47" fillId="0" borderId="20" xfId="0" applyFont="1" applyFill="1" applyBorder="1" applyAlignment="1">
      <alignment horizontal="center" vertical="center" wrapText="1" readingOrder="1"/>
    </xf>
    <xf numFmtId="0" fontId="47" fillId="0" borderId="21" xfId="0" applyFont="1" applyFill="1" applyBorder="1" applyAlignment="1">
      <alignment horizontal="center" vertical="center" wrapText="1" readingOrder="1"/>
    </xf>
    <xf numFmtId="0" fontId="47" fillId="0" borderId="34" xfId="0" applyFont="1" applyFill="1" applyBorder="1" applyAlignment="1">
      <alignment horizontal="center" vertical="center" wrapText="1" readingOrder="1"/>
    </xf>
    <xf numFmtId="0" fontId="30" fillId="44" borderId="23" xfId="0" applyFont="1" applyFill="1" applyBorder="1" applyAlignment="1">
      <alignment horizontal="center" vertical="center" wrapText="1" readingOrder="1"/>
    </xf>
    <xf numFmtId="0" fontId="30" fillId="44" borderId="24" xfId="0" applyFont="1" applyFill="1" applyBorder="1" applyAlignment="1">
      <alignment horizontal="center" vertical="center" wrapText="1" readingOrder="1"/>
    </xf>
    <xf numFmtId="0" fontId="30" fillId="44" borderId="25" xfId="0" applyFont="1" applyFill="1" applyBorder="1" applyAlignment="1">
      <alignment horizontal="center" vertical="center" wrapText="1" readingOrder="1"/>
    </xf>
    <xf numFmtId="0" fontId="30" fillId="44" borderId="26" xfId="0" applyFont="1" applyFill="1" applyBorder="1" applyAlignment="1">
      <alignment horizontal="center" vertical="center" wrapText="1" readingOrder="1"/>
    </xf>
    <xf numFmtId="0" fontId="30" fillId="44" borderId="27" xfId="0" applyFont="1" applyFill="1" applyBorder="1" applyAlignment="1">
      <alignment horizontal="center" vertical="center" wrapText="1" readingOrder="1"/>
    </xf>
    <xf numFmtId="0" fontId="30" fillId="44" borderId="28" xfId="0" applyFont="1" applyFill="1" applyBorder="1" applyAlignment="1">
      <alignment horizontal="center" vertical="center" wrapText="1" readingOrder="1"/>
    </xf>
    <xf numFmtId="0" fontId="38" fillId="44" borderId="27" xfId="0" applyFont="1" applyFill="1" applyBorder="1" applyAlignment="1">
      <alignment horizontal="center" vertical="center" wrapText="1" readingOrder="1"/>
    </xf>
    <xf numFmtId="0" fontId="38" fillId="44" borderId="28" xfId="0" applyFont="1" applyFill="1" applyBorder="1" applyAlignment="1">
      <alignment horizontal="center" vertical="center" wrapText="1" readingOrder="1"/>
    </xf>
    <xf numFmtId="0" fontId="38" fillId="44" borderId="36" xfId="0" applyFont="1" applyFill="1" applyBorder="1" applyAlignment="1">
      <alignment horizontal="center" vertical="center" wrapText="1" readingOrder="1"/>
    </xf>
    <xf numFmtId="0" fontId="38" fillId="44" borderId="37" xfId="0" applyFont="1" applyFill="1" applyBorder="1" applyAlignment="1">
      <alignment horizontal="center" vertical="center" wrapText="1" readingOrder="1"/>
    </xf>
    <xf numFmtId="0" fontId="0" fillId="44" borderId="27" xfId="0" applyFill="1" applyBorder="1" applyAlignment="1">
      <alignment horizontal="center" vertical="center" wrapText="1"/>
    </xf>
    <xf numFmtId="0" fontId="0" fillId="44" borderId="28" xfId="0" applyFill="1" applyBorder="1" applyAlignment="1">
      <alignment horizontal="center" vertical="center" wrapText="1"/>
    </xf>
    <xf numFmtId="0" fontId="30" fillId="46" borderId="23" xfId="0" applyFont="1" applyFill="1" applyBorder="1" applyAlignment="1">
      <alignment horizontal="center" vertical="center" wrapText="1" readingOrder="1"/>
    </xf>
    <xf numFmtId="0" fontId="30" fillId="46" borderId="24" xfId="0" applyFont="1" applyFill="1" applyBorder="1" applyAlignment="1">
      <alignment horizontal="center" vertical="center" wrapText="1" readingOrder="1"/>
    </xf>
    <xf numFmtId="0" fontId="30" fillId="46" borderId="25" xfId="0" applyFont="1" applyFill="1" applyBorder="1" applyAlignment="1">
      <alignment horizontal="center" vertical="center" wrapText="1" readingOrder="1"/>
    </xf>
    <xf numFmtId="0" fontId="30" fillId="46" borderId="26" xfId="0" applyFont="1" applyFill="1" applyBorder="1" applyAlignment="1">
      <alignment horizontal="center" vertical="center" wrapText="1" readingOrder="1"/>
    </xf>
    <xf numFmtId="0" fontId="30" fillId="46" borderId="27" xfId="0" applyFont="1" applyFill="1" applyBorder="1" applyAlignment="1">
      <alignment horizontal="center" vertical="center" wrapText="1" readingOrder="1"/>
    </xf>
    <xf numFmtId="0" fontId="30" fillId="46" borderId="28" xfId="0" applyFont="1" applyFill="1" applyBorder="1" applyAlignment="1">
      <alignment horizontal="center" vertical="center" wrapText="1" readingOrder="1"/>
    </xf>
    <xf numFmtId="0" fontId="36" fillId="44" borderId="25" xfId="0" applyFont="1" applyFill="1" applyBorder="1" applyAlignment="1">
      <alignment horizontal="center" wrapText="1" readingOrder="1"/>
    </xf>
    <xf numFmtId="0" fontId="36" fillId="44" borderId="26" xfId="0" applyFont="1" applyFill="1" applyBorder="1" applyAlignment="1">
      <alignment horizontal="center" wrapText="1" readingOrder="1"/>
    </xf>
    <xf numFmtId="0" fontId="30" fillId="45" borderId="23" xfId="0" applyFont="1" applyFill="1" applyBorder="1" applyAlignment="1">
      <alignment horizontal="center" wrapText="1" readingOrder="1"/>
    </xf>
    <xf numFmtId="0" fontId="30" fillId="45" borderId="24" xfId="0" applyFont="1" applyFill="1" applyBorder="1" applyAlignment="1">
      <alignment horizontal="center" wrapText="1" readingOrder="1"/>
    </xf>
    <xf numFmtId="0" fontId="30" fillId="45" borderId="25" xfId="0" applyFont="1" applyFill="1" applyBorder="1" applyAlignment="1">
      <alignment horizontal="center" wrapText="1" readingOrder="1"/>
    </xf>
    <xf numFmtId="0" fontId="30" fillId="45" borderId="26" xfId="0" applyFont="1" applyFill="1" applyBorder="1" applyAlignment="1">
      <alignment horizontal="center" wrapText="1" readingOrder="1"/>
    </xf>
    <xf numFmtId="0" fontId="0" fillId="45" borderId="27" xfId="0" applyFill="1" applyBorder="1" applyAlignment="1">
      <alignment horizontal="center" vertical="center" wrapText="1"/>
    </xf>
    <xf numFmtId="0" fontId="0" fillId="45" borderId="28" xfId="0" applyFill="1" applyBorder="1" applyAlignment="1">
      <alignment horizontal="center" vertical="center" wrapText="1"/>
    </xf>
    <xf numFmtId="0" fontId="30" fillId="45" borderId="23" xfId="0" applyFont="1" applyFill="1" applyBorder="1" applyAlignment="1">
      <alignment horizontal="center" vertical="center" wrapText="1" readingOrder="1"/>
    </xf>
    <xf numFmtId="0" fontId="30" fillId="45" borderId="24" xfId="0" applyFont="1" applyFill="1" applyBorder="1" applyAlignment="1">
      <alignment horizontal="center" vertical="center" wrapText="1" readingOrder="1"/>
    </xf>
    <xf numFmtId="0" fontId="30" fillId="45" borderId="25" xfId="0" applyFont="1" applyFill="1" applyBorder="1" applyAlignment="1">
      <alignment horizontal="center" vertical="center" wrapText="1" readingOrder="1"/>
    </xf>
    <xf numFmtId="0" fontId="30" fillId="45" borderId="26" xfId="0" applyFont="1" applyFill="1" applyBorder="1" applyAlignment="1">
      <alignment horizontal="center" vertical="center" wrapText="1" readingOrder="1"/>
    </xf>
    <xf numFmtId="0" fontId="30" fillId="45" borderId="27" xfId="0" applyFont="1" applyFill="1" applyBorder="1" applyAlignment="1">
      <alignment horizontal="center" vertical="center" wrapText="1" readingOrder="1"/>
    </xf>
    <xf numFmtId="0" fontId="30" fillId="45" borderId="28" xfId="0" applyFont="1" applyFill="1" applyBorder="1" applyAlignment="1">
      <alignment horizontal="center" vertical="center" wrapText="1" readingOrder="1"/>
    </xf>
    <xf numFmtId="0" fontId="21" fillId="34" borderId="0" xfId="0" applyFont="1" applyFill="1" applyAlignment="1">
      <alignment horizontal="center" vertical="center" wrapText="1" readingOrder="1"/>
    </xf>
    <xf numFmtId="0" fontId="20" fillId="38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wrapText="1"/>
    </xf>
    <xf numFmtId="0" fontId="16" fillId="48" borderId="0" xfId="0" applyFont="1" applyFill="1" applyAlignment="1">
      <alignment horizontal="center" vertical="center" wrapText="1"/>
    </xf>
    <xf numFmtId="0" fontId="48" fillId="49" borderId="0" xfId="0" applyFont="1" applyFill="1" applyAlignment="1">
      <alignment horizontal="center" vertical="center" wrapText="1"/>
    </xf>
    <xf numFmtId="0" fontId="16" fillId="47" borderId="0" xfId="0" applyFont="1" applyFill="1" applyAlignment="1">
      <alignment horizontal="center" vertical="center" wrapText="1"/>
    </xf>
    <xf numFmtId="0" fontId="45" fillId="0" borderId="11" xfId="45" applyFont="1" applyBorder="1" applyAlignment="1">
      <alignment horizontal="left" vertical="top"/>
    </xf>
    <xf numFmtId="0" fontId="44" fillId="0" borderId="11" xfId="45" applyBorder="1" applyAlignment="1">
      <alignment horizontal="center"/>
    </xf>
    <xf numFmtId="0" fontId="33" fillId="41" borderId="12" xfId="0" applyFont="1" applyFill="1" applyBorder="1" applyAlignment="1">
      <alignment horizontal="center" vertical="center" wrapText="1"/>
    </xf>
    <xf numFmtId="0" fontId="33" fillId="41" borderId="13" xfId="0" applyFont="1" applyFill="1" applyBorder="1" applyAlignment="1">
      <alignment horizontal="center" vertical="center" wrapText="1"/>
    </xf>
    <xf numFmtId="0" fontId="40" fillId="43" borderId="27" xfId="0" applyFont="1" applyFill="1" applyBorder="1" applyAlignment="1">
      <alignment horizontal="center" vertical="center" wrapText="1" readingOrder="1"/>
    </xf>
    <xf numFmtId="0" fontId="40" fillId="43" borderId="31" xfId="0" applyFont="1" applyFill="1" applyBorder="1" applyAlignment="1">
      <alignment horizontal="center" vertical="center" wrapText="1" readingOrder="1"/>
    </xf>
    <xf numFmtId="0" fontId="40" fillId="43" borderId="28" xfId="0" applyFont="1" applyFill="1" applyBorder="1" applyAlignment="1">
      <alignment horizontal="center" vertical="center" wrapText="1" readingOrder="1"/>
    </xf>
    <xf numFmtId="0" fontId="41" fillId="43" borderId="20" xfId="0" applyFont="1" applyFill="1" applyBorder="1" applyAlignment="1">
      <alignment horizontal="center" vertical="center" wrapText="1" readingOrder="1"/>
    </xf>
    <xf numFmtId="0" fontId="41" fillId="43" borderId="22" xfId="0" applyFont="1" applyFill="1" applyBorder="1" applyAlignment="1">
      <alignment horizontal="center" vertical="center" wrapText="1" readingOrder="1"/>
    </xf>
    <xf numFmtId="0" fontId="42" fillId="0" borderId="29" xfId="0" applyFont="1" applyBorder="1" applyAlignment="1">
      <alignment horizontal="center" vertical="center" wrapText="1" readingOrder="1"/>
    </xf>
    <xf numFmtId="0" fontId="42" fillId="0" borderId="30" xfId="0" applyFont="1" applyBorder="1" applyAlignment="1">
      <alignment horizontal="center" vertical="center" wrapText="1" readingOrder="1"/>
    </xf>
    <xf numFmtId="0" fontId="41" fillId="43" borderId="21" xfId="0" applyFont="1" applyFill="1" applyBorder="1" applyAlignment="1">
      <alignment horizontal="center" vertical="center" wrapText="1" readingOrder="1"/>
    </xf>
    <xf numFmtId="0" fontId="40" fillId="43" borderId="20" xfId="0" applyFont="1" applyFill="1" applyBorder="1" applyAlignment="1">
      <alignment horizontal="center" vertical="center" wrapText="1" readingOrder="1"/>
    </xf>
    <xf numFmtId="0" fontId="40" fillId="43" borderId="21" xfId="0" applyFont="1" applyFill="1" applyBorder="1" applyAlignment="1">
      <alignment horizontal="center" vertical="center" wrapText="1" readingOrder="1"/>
    </xf>
    <xf numFmtId="0" fontId="40" fillId="43" borderId="22" xfId="0" applyFont="1" applyFill="1" applyBorder="1" applyAlignment="1">
      <alignment horizontal="center" vertical="center" wrapText="1" readingOrder="1"/>
    </xf>
    <xf numFmtId="0" fontId="40" fillId="43" borderId="23" xfId="0" applyFont="1" applyFill="1" applyBorder="1" applyAlignment="1">
      <alignment horizontal="center" vertical="center" wrapText="1" readingOrder="1"/>
    </xf>
    <xf numFmtId="0" fontId="40" fillId="43" borderId="32" xfId="0" applyFont="1" applyFill="1" applyBorder="1" applyAlignment="1">
      <alignment horizontal="center" vertical="center" wrapText="1" readingOrder="1"/>
    </xf>
    <xf numFmtId="0" fontId="40" fillId="43" borderId="24" xfId="0" applyFont="1" applyFill="1" applyBorder="1" applyAlignment="1">
      <alignment horizontal="center" vertical="center" wrapText="1" readingOrder="1"/>
    </xf>
    <xf numFmtId="0" fontId="48" fillId="50" borderId="0" xfId="0" applyFont="1" applyFill="1" applyAlignment="1">
      <alignment horizontal="center" vertical="center" wrapText="1"/>
    </xf>
    <xf numFmtId="0" fontId="16" fillId="50" borderId="0" xfId="0" applyFont="1" applyFill="1" applyAlignment="1">
      <alignment horizontal="center" vertical="center" wrapText="1"/>
    </xf>
  </cellXfs>
  <cellStyles count="47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Comma 2" xfId="46" xr:uid="{3AA92281-E033-4E5C-8C44-B94733F99069}"/>
    <cellStyle name="Comma 3" xfId="43" xr:uid="{F1B790FD-7B18-45AA-A8B8-D396CB8B0AE9}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Koma" xfId="42" builtinId="3"/>
    <cellStyle name="Masukan" xfId="9" builtinId="20" customBuiltin="1"/>
    <cellStyle name="Netral" xfId="8" builtinId="28" customBuiltin="1"/>
    <cellStyle name="Normal" xfId="0" builtinId="0"/>
    <cellStyle name="Normal 2" xfId="44" xr:uid="{FD59E88B-F7C7-46AA-BD8C-87E41CE96773}"/>
    <cellStyle name="Normal 3" xfId="45" xr:uid="{9123597C-EDDC-4A73-9130-5C817FCCE8C0}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125"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'grafik rematri'!$C$3</c:f>
              <c:strCache>
                <c:ptCount val="1"/>
                <c:pt idx="0">
                  <c:v>% Rematri  Konsumsi TTD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'grafik rematri'!$B$4:$B$39</c:f>
              <c:strCache>
                <c:ptCount val="36"/>
                <c:pt idx="0">
                  <c:v>GROBOGAN</c:v>
                </c:pt>
                <c:pt idx="1">
                  <c:v>PATI</c:v>
                </c:pt>
                <c:pt idx="2">
                  <c:v>BREBES</c:v>
                </c:pt>
                <c:pt idx="3">
                  <c:v>KOTA SALATIGA</c:v>
                </c:pt>
                <c:pt idx="4">
                  <c:v>SRAGEN</c:v>
                </c:pt>
                <c:pt idx="5">
                  <c:v>MAGELANG</c:v>
                </c:pt>
                <c:pt idx="6">
                  <c:v>KEBUMEN</c:v>
                </c:pt>
                <c:pt idx="7">
                  <c:v>PURWOREJO</c:v>
                </c:pt>
                <c:pt idx="8">
                  <c:v>KOTA SEMARANG</c:v>
                </c:pt>
                <c:pt idx="9">
                  <c:v>JEPARA</c:v>
                </c:pt>
                <c:pt idx="10">
                  <c:v>KUDUS</c:v>
                </c:pt>
                <c:pt idx="11">
                  <c:v>PEKALONGAN</c:v>
                </c:pt>
                <c:pt idx="12">
                  <c:v>SEMARANG</c:v>
                </c:pt>
                <c:pt idx="13">
                  <c:v>BANJARNEGARA</c:v>
                </c:pt>
                <c:pt idx="14">
                  <c:v>KLATEN</c:v>
                </c:pt>
                <c:pt idx="15">
                  <c:v>KENDAL</c:v>
                </c:pt>
                <c:pt idx="16">
                  <c:v>BATANG</c:v>
                </c:pt>
                <c:pt idx="17">
                  <c:v>TEGAL</c:v>
                </c:pt>
                <c:pt idx="18">
                  <c:v>KOTA MAGELANG</c:v>
                </c:pt>
                <c:pt idx="19">
                  <c:v>KOTA SURAKARTA</c:v>
                </c:pt>
                <c:pt idx="20">
                  <c:v>KOTA TEGAL</c:v>
                </c:pt>
                <c:pt idx="21">
                  <c:v>KARANGANYAR</c:v>
                </c:pt>
                <c:pt idx="22">
                  <c:v>SUKOHARJO</c:v>
                </c:pt>
                <c:pt idx="23">
                  <c:v>CILACAP</c:v>
                </c:pt>
                <c:pt idx="24">
                  <c:v>KOTA PEKALONGAN</c:v>
                </c:pt>
                <c:pt idx="25">
                  <c:v>BLORA</c:v>
                </c:pt>
                <c:pt idx="26">
                  <c:v>BOYOLALI</c:v>
                </c:pt>
                <c:pt idx="27">
                  <c:v>WONOSOBO</c:v>
                </c:pt>
                <c:pt idx="28">
                  <c:v>PEMALANG</c:v>
                </c:pt>
                <c:pt idx="29">
                  <c:v>PURBALINGGA</c:v>
                </c:pt>
                <c:pt idx="30">
                  <c:v>WONOGIRI</c:v>
                </c:pt>
                <c:pt idx="31">
                  <c:v>DEMAK</c:v>
                </c:pt>
                <c:pt idx="32">
                  <c:v>TEMANGGUNG</c:v>
                </c:pt>
                <c:pt idx="33">
                  <c:v>BANYUMAS</c:v>
                </c:pt>
                <c:pt idx="34">
                  <c:v>REMBANG</c:v>
                </c:pt>
                <c:pt idx="35">
                  <c:v>JAWA TENGAH</c:v>
                </c:pt>
              </c:strCache>
            </c:strRef>
          </c:cat>
          <c:val>
            <c:numRef>
              <c:f>'grafik rematri'!$C$4:$C$39</c:f>
              <c:numCache>
                <c:formatCode>General</c:formatCode>
                <c:ptCount val="36"/>
                <c:pt idx="0">
                  <c:v>55.1</c:v>
                </c:pt>
                <c:pt idx="1">
                  <c:v>75.87</c:v>
                </c:pt>
                <c:pt idx="2">
                  <c:v>83.05</c:v>
                </c:pt>
                <c:pt idx="3">
                  <c:v>83.16</c:v>
                </c:pt>
                <c:pt idx="4">
                  <c:v>83.37</c:v>
                </c:pt>
                <c:pt idx="5">
                  <c:v>85.81</c:v>
                </c:pt>
                <c:pt idx="6">
                  <c:v>86.01</c:v>
                </c:pt>
                <c:pt idx="7">
                  <c:v>87.45</c:v>
                </c:pt>
                <c:pt idx="8">
                  <c:v>90.51</c:v>
                </c:pt>
                <c:pt idx="9">
                  <c:v>90.55</c:v>
                </c:pt>
                <c:pt idx="10">
                  <c:v>91.08</c:v>
                </c:pt>
                <c:pt idx="11">
                  <c:v>92.01</c:v>
                </c:pt>
                <c:pt idx="12">
                  <c:v>92.78</c:v>
                </c:pt>
                <c:pt idx="13">
                  <c:v>92.87</c:v>
                </c:pt>
                <c:pt idx="14">
                  <c:v>92.88</c:v>
                </c:pt>
                <c:pt idx="15">
                  <c:v>93.88</c:v>
                </c:pt>
                <c:pt idx="16">
                  <c:v>95.16</c:v>
                </c:pt>
                <c:pt idx="17">
                  <c:v>96.59</c:v>
                </c:pt>
                <c:pt idx="18">
                  <c:v>97.46</c:v>
                </c:pt>
                <c:pt idx="19">
                  <c:v>97.69</c:v>
                </c:pt>
                <c:pt idx="20">
                  <c:v>97.96</c:v>
                </c:pt>
                <c:pt idx="21">
                  <c:v>98.15</c:v>
                </c:pt>
                <c:pt idx="22">
                  <c:v>98.55</c:v>
                </c:pt>
                <c:pt idx="23">
                  <c:v>98.78</c:v>
                </c:pt>
                <c:pt idx="24">
                  <c:v>99.01</c:v>
                </c:pt>
                <c:pt idx="25">
                  <c:v>99.04</c:v>
                </c:pt>
                <c:pt idx="26">
                  <c:v>99.38</c:v>
                </c:pt>
                <c:pt idx="27">
                  <c:v>99.73</c:v>
                </c:pt>
                <c:pt idx="28">
                  <c:v>99.73</c:v>
                </c:pt>
                <c:pt idx="29">
                  <c:v>99.96</c:v>
                </c:pt>
                <c:pt idx="30">
                  <c:v>99.96</c:v>
                </c:pt>
                <c:pt idx="31">
                  <c:v>99.96</c:v>
                </c:pt>
                <c:pt idx="32">
                  <c:v>99.98</c:v>
                </c:pt>
                <c:pt idx="33">
                  <c:v>100</c:v>
                </c:pt>
                <c:pt idx="34">
                  <c:v>100</c:v>
                </c:pt>
                <c:pt idx="35">
                  <c:v>91.83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FC-4A83-88CF-E8CD58762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86795007"/>
        <c:axId val="2086794527"/>
      </c:barChart>
      <c:catAx>
        <c:axId val="2086795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794527"/>
        <c:crosses val="autoZero"/>
        <c:auto val="1"/>
        <c:lblAlgn val="ctr"/>
        <c:lblOffset val="100"/>
        <c:noMultiLvlLbl val="0"/>
      </c:catAx>
      <c:valAx>
        <c:axId val="2086794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795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'grafik rematri'!$G$3</c:f>
              <c:strCache>
                <c:ptCount val="1"/>
                <c:pt idx="0">
                  <c:v>% Rematri skrining anemia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'grafik rematri'!$F$4:$F$39</c:f>
              <c:strCache>
                <c:ptCount val="36"/>
                <c:pt idx="0">
                  <c:v>KOTA SURAKARTA</c:v>
                </c:pt>
                <c:pt idx="1">
                  <c:v>KOTA SEMARANG</c:v>
                </c:pt>
                <c:pt idx="2">
                  <c:v>PATI</c:v>
                </c:pt>
                <c:pt idx="3">
                  <c:v>KEBUMEN</c:v>
                </c:pt>
                <c:pt idx="4">
                  <c:v>MAGELANG</c:v>
                </c:pt>
                <c:pt idx="5">
                  <c:v>SRAGEN</c:v>
                </c:pt>
                <c:pt idx="6">
                  <c:v>CILACAP</c:v>
                </c:pt>
                <c:pt idx="7">
                  <c:v>JEPARA</c:v>
                </c:pt>
                <c:pt idx="8">
                  <c:v>SEMARANG</c:v>
                </c:pt>
                <c:pt idx="9">
                  <c:v>BANJARNEGARA</c:v>
                </c:pt>
                <c:pt idx="10">
                  <c:v>KENDAL</c:v>
                </c:pt>
                <c:pt idx="11">
                  <c:v>PEMALANG</c:v>
                </c:pt>
                <c:pt idx="12">
                  <c:v>WONOGIRI</c:v>
                </c:pt>
                <c:pt idx="13">
                  <c:v>SUKOHARJO</c:v>
                </c:pt>
                <c:pt idx="14">
                  <c:v>TEMANGGUNG</c:v>
                </c:pt>
                <c:pt idx="15">
                  <c:v>GROBOGAN</c:v>
                </c:pt>
                <c:pt idx="16">
                  <c:v>KUDUS</c:v>
                </c:pt>
                <c:pt idx="17">
                  <c:v>WONOSOBO</c:v>
                </c:pt>
                <c:pt idx="18">
                  <c:v>BREBES</c:v>
                </c:pt>
                <c:pt idx="19">
                  <c:v>TEGAL</c:v>
                </c:pt>
                <c:pt idx="20">
                  <c:v>KOTA SALATIGA</c:v>
                </c:pt>
                <c:pt idx="21">
                  <c:v>KOTA TEGAL</c:v>
                </c:pt>
                <c:pt idx="22">
                  <c:v>BATANG</c:v>
                </c:pt>
                <c:pt idx="23">
                  <c:v>PURWOREJO</c:v>
                </c:pt>
                <c:pt idx="24">
                  <c:v>KOTA MAGELANG</c:v>
                </c:pt>
                <c:pt idx="25">
                  <c:v>KARANGANYAR</c:v>
                </c:pt>
                <c:pt idx="26">
                  <c:v>KLATEN</c:v>
                </c:pt>
                <c:pt idx="27">
                  <c:v>DEMAK</c:v>
                </c:pt>
                <c:pt idx="28">
                  <c:v>PURBALINGGA</c:v>
                </c:pt>
                <c:pt idx="29">
                  <c:v>PEKALONGAN</c:v>
                </c:pt>
                <c:pt idx="30">
                  <c:v>KOTA PEKALONGAN</c:v>
                </c:pt>
                <c:pt idx="31">
                  <c:v>BLORA</c:v>
                </c:pt>
                <c:pt idx="32">
                  <c:v>BANYUMAS</c:v>
                </c:pt>
                <c:pt idx="33">
                  <c:v>REMBANG</c:v>
                </c:pt>
                <c:pt idx="34">
                  <c:v>BOYOLALI</c:v>
                </c:pt>
                <c:pt idx="35">
                  <c:v>JAWA TENGAH</c:v>
                </c:pt>
              </c:strCache>
            </c:strRef>
          </c:cat>
          <c:val>
            <c:numRef>
              <c:f>'grafik rematri'!$G$4:$G$39</c:f>
              <c:numCache>
                <c:formatCode>General</c:formatCode>
                <c:ptCount val="36"/>
                <c:pt idx="0">
                  <c:v>40.9</c:v>
                </c:pt>
                <c:pt idx="1">
                  <c:v>75.17</c:v>
                </c:pt>
                <c:pt idx="2">
                  <c:v>77.400000000000006</c:v>
                </c:pt>
                <c:pt idx="3">
                  <c:v>83.88</c:v>
                </c:pt>
                <c:pt idx="4">
                  <c:v>86.54</c:v>
                </c:pt>
                <c:pt idx="5">
                  <c:v>88.33</c:v>
                </c:pt>
                <c:pt idx="6">
                  <c:v>89.76</c:v>
                </c:pt>
                <c:pt idx="7">
                  <c:v>90.68</c:v>
                </c:pt>
                <c:pt idx="8">
                  <c:v>91.07</c:v>
                </c:pt>
                <c:pt idx="9">
                  <c:v>93.03</c:v>
                </c:pt>
                <c:pt idx="10">
                  <c:v>93.84</c:v>
                </c:pt>
                <c:pt idx="11">
                  <c:v>94.27</c:v>
                </c:pt>
                <c:pt idx="12">
                  <c:v>94.53</c:v>
                </c:pt>
                <c:pt idx="13">
                  <c:v>95.48</c:v>
                </c:pt>
                <c:pt idx="14">
                  <c:v>95.78</c:v>
                </c:pt>
                <c:pt idx="15">
                  <c:v>96.1</c:v>
                </c:pt>
                <c:pt idx="16">
                  <c:v>96.88</c:v>
                </c:pt>
                <c:pt idx="17">
                  <c:v>97.15</c:v>
                </c:pt>
                <c:pt idx="18">
                  <c:v>97.83</c:v>
                </c:pt>
                <c:pt idx="19">
                  <c:v>98.1</c:v>
                </c:pt>
                <c:pt idx="20">
                  <c:v>98.27</c:v>
                </c:pt>
                <c:pt idx="21">
                  <c:v>98.39</c:v>
                </c:pt>
                <c:pt idx="22">
                  <c:v>98.46</c:v>
                </c:pt>
                <c:pt idx="23">
                  <c:v>98.68</c:v>
                </c:pt>
                <c:pt idx="24">
                  <c:v>98.69</c:v>
                </c:pt>
                <c:pt idx="25">
                  <c:v>98.78</c:v>
                </c:pt>
                <c:pt idx="26">
                  <c:v>99.03</c:v>
                </c:pt>
                <c:pt idx="27">
                  <c:v>99.08</c:v>
                </c:pt>
                <c:pt idx="28">
                  <c:v>99.14</c:v>
                </c:pt>
                <c:pt idx="29">
                  <c:v>99.21</c:v>
                </c:pt>
                <c:pt idx="30">
                  <c:v>99.4</c:v>
                </c:pt>
                <c:pt idx="31">
                  <c:v>99.93</c:v>
                </c:pt>
                <c:pt idx="32">
                  <c:v>100</c:v>
                </c:pt>
                <c:pt idx="33">
                  <c:v>100</c:v>
                </c:pt>
                <c:pt idx="34">
                  <c:v>100.77</c:v>
                </c:pt>
                <c:pt idx="35">
                  <c:v>92.58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81-4A32-B127-6FF949D06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8660735"/>
        <c:axId val="2078659775"/>
      </c:barChart>
      <c:catAx>
        <c:axId val="2078660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659775"/>
        <c:crosses val="autoZero"/>
        <c:auto val="1"/>
        <c:lblAlgn val="ctr"/>
        <c:lblOffset val="100"/>
        <c:noMultiLvlLbl val="0"/>
      </c:catAx>
      <c:valAx>
        <c:axId val="2078659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660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'grafik rematri'!$L$3</c:f>
              <c:strCache>
                <c:ptCount val="1"/>
                <c:pt idx="0">
                  <c:v>% Rematri anemia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'grafik rematri'!$K$4:$K$39</c:f>
              <c:strCache>
                <c:ptCount val="36"/>
                <c:pt idx="0">
                  <c:v>BATANG</c:v>
                </c:pt>
                <c:pt idx="1">
                  <c:v>KOTA SEMARANG</c:v>
                </c:pt>
                <c:pt idx="2">
                  <c:v>BREBES</c:v>
                </c:pt>
                <c:pt idx="3">
                  <c:v>GROBOGAN</c:v>
                </c:pt>
                <c:pt idx="4">
                  <c:v>PATI</c:v>
                </c:pt>
                <c:pt idx="5">
                  <c:v>PEMALANG</c:v>
                </c:pt>
                <c:pt idx="6">
                  <c:v>SRAGEN</c:v>
                </c:pt>
                <c:pt idx="7">
                  <c:v>DEMAK</c:v>
                </c:pt>
                <c:pt idx="8">
                  <c:v>WONOGIRI</c:v>
                </c:pt>
                <c:pt idx="9">
                  <c:v>REMBANG</c:v>
                </c:pt>
                <c:pt idx="10">
                  <c:v>KOTA MAGELANG</c:v>
                </c:pt>
                <c:pt idx="11">
                  <c:v>CILACAP</c:v>
                </c:pt>
                <c:pt idx="12">
                  <c:v>TEMANGGUNG</c:v>
                </c:pt>
                <c:pt idx="13">
                  <c:v>WONOSOBO</c:v>
                </c:pt>
                <c:pt idx="14">
                  <c:v>KOTA SALATIGA</c:v>
                </c:pt>
                <c:pt idx="15">
                  <c:v>KUDUS</c:v>
                </c:pt>
                <c:pt idx="16">
                  <c:v>BLORA</c:v>
                </c:pt>
                <c:pt idx="17">
                  <c:v>KOTA SURAKARTA</c:v>
                </c:pt>
                <c:pt idx="18">
                  <c:v>BOYOLALI</c:v>
                </c:pt>
                <c:pt idx="19">
                  <c:v>KARANGANYAR</c:v>
                </c:pt>
                <c:pt idx="20">
                  <c:v>KEBUMEN</c:v>
                </c:pt>
                <c:pt idx="21">
                  <c:v>PURWOREJO</c:v>
                </c:pt>
                <c:pt idx="22">
                  <c:v>TEGAL</c:v>
                </c:pt>
                <c:pt idx="23">
                  <c:v>JEPARA</c:v>
                </c:pt>
                <c:pt idx="24">
                  <c:v>PEKALONGAN</c:v>
                </c:pt>
                <c:pt idx="25">
                  <c:v>KLATEN</c:v>
                </c:pt>
                <c:pt idx="26">
                  <c:v>KENDAL</c:v>
                </c:pt>
                <c:pt idx="27">
                  <c:v>KOTA PEKALONGAN</c:v>
                </c:pt>
                <c:pt idx="28">
                  <c:v>SEMARANG</c:v>
                </c:pt>
                <c:pt idx="29">
                  <c:v>BANYUMAS</c:v>
                </c:pt>
                <c:pt idx="30">
                  <c:v>PURBALINGGA</c:v>
                </c:pt>
                <c:pt idx="31">
                  <c:v>KOTA TEGAL</c:v>
                </c:pt>
                <c:pt idx="32">
                  <c:v>SUKOHARJO</c:v>
                </c:pt>
                <c:pt idx="33">
                  <c:v>BANJARNEGARA</c:v>
                </c:pt>
                <c:pt idx="34">
                  <c:v>MAGELANG</c:v>
                </c:pt>
                <c:pt idx="35">
                  <c:v>JAWA TENGAH</c:v>
                </c:pt>
              </c:strCache>
            </c:strRef>
          </c:cat>
          <c:val>
            <c:numRef>
              <c:f>'grafik rematri'!$L$4:$L$39</c:f>
              <c:numCache>
                <c:formatCode>0.00</c:formatCode>
                <c:ptCount val="36"/>
                <c:pt idx="0">
                  <c:v>5.75</c:v>
                </c:pt>
                <c:pt idx="1">
                  <c:v>6.37</c:v>
                </c:pt>
                <c:pt idx="2">
                  <c:v>6.7</c:v>
                </c:pt>
                <c:pt idx="3">
                  <c:v>7.08</c:v>
                </c:pt>
                <c:pt idx="4">
                  <c:v>7.52</c:v>
                </c:pt>
                <c:pt idx="5">
                  <c:v>8.24</c:v>
                </c:pt>
                <c:pt idx="6">
                  <c:v>8.6999999999999993</c:v>
                </c:pt>
                <c:pt idx="7">
                  <c:v>9.14</c:v>
                </c:pt>
                <c:pt idx="8">
                  <c:v>10.02</c:v>
                </c:pt>
                <c:pt idx="9">
                  <c:v>11</c:v>
                </c:pt>
                <c:pt idx="10">
                  <c:v>11.23</c:v>
                </c:pt>
                <c:pt idx="11">
                  <c:v>11.33</c:v>
                </c:pt>
                <c:pt idx="12">
                  <c:v>11.5</c:v>
                </c:pt>
                <c:pt idx="13">
                  <c:v>11.56</c:v>
                </c:pt>
                <c:pt idx="14">
                  <c:v>11.94</c:v>
                </c:pt>
                <c:pt idx="15">
                  <c:v>12.76</c:v>
                </c:pt>
                <c:pt idx="16">
                  <c:v>13.47</c:v>
                </c:pt>
                <c:pt idx="17">
                  <c:v>13.74</c:v>
                </c:pt>
                <c:pt idx="18">
                  <c:v>14.01</c:v>
                </c:pt>
                <c:pt idx="19">
                  <c:v>14.15</c:v>
                </c:pt>
                <c:pt idx="20">
                  <c:v>14.31</c:v>
                </c:pt>
                <c:pt idx="21">
                  <c:v>14.57</c:v>
                </c:pt>
                <c:pt idx="22">
                  <c:v>16.38</c:v>
                </c:pt>
                <c:pt idx="23">
                  <c:v>16.86</c:v>
                </c:pt>
                <c:pt idx="24">
                  <c:v>18.079999999999998</c:v>
                </c:pt>
                <c:pt idx="25">
                  <c:v>20.5</c:v>
                </c:pt>
                <c:pt idx="26">
                  <c:v>21.3</c:v>
                </c:pt>
                <c:pt idx="27">
                  <c:v>22.18</c:v>
                </c:pt>
                <c:pt idx="28">
                  <c:v>22.97</c:v>
                </c:pt>
                <c:pt idx="29">
                  <c:v>24.69</c:v>
                </c:pt>
                <c:pt idx="30">
                  <c:v>25.6</c:v>
                </c:pt>
                <c:pt idx="31">
                  <c:v>26.07</c:v>
                </c:pt>
                <c:pt idx="32">
                  <c:v>29.43</c:v>
                </c:pt>
                <c:pt idx="33">
                  <c:v>33.22</c:v>
                </c:pt>
                <c:pt idx="34">
                  <c:v>39.6</c:v>
                </c:pt>
                <c:pt idx="35">
                  <c:v>14.82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88-4724-9130-92D30A037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7080111"/>
        <c:axId val="1367080591"/>
      </c:barChart>
      <c:catAx>
        <c:axId val="1367080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080591"/>
        <c:crosses val="autoZero"/>
        <c:auto val="1"/>
        <c:lblAlgn val="ctr"/>
        <c:lblOffset val="100"/>
        <c:noMultiLvlLbl val="0"/>
      </c:catAx>
      <c:valAx>
        <c:axId val="136708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080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'grafik bumil'!$C$3</c:f>
              <c:strCache>
                <c:ptCount val="1"/>
                <c:pt idx="0">
                  <c:v>Ibu hamil Konsumsi TTD/MMS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'grafik bumil'!$B$4:$B$39</c:f>
              <c:strCache>
                <c:ptCount val="36"/>
                <c:pt idx="0">
                  <c:v>KOTA SALATIGA</c:v>
                </c:pt>
                <c:pt idx="1">
                  <c:v>SRAGEN</c:v>
                </c:pt>
                <c:pt idx="2">
                  <c:v>PURWOREJO</c:v>
                </c:pt>
                <c:pt idx="3">
                  <c:v>BLORA</c:v>
                </c:pt>
                <c:pt idx="4">
                  <c:v>KARANGANYAR</c:v>
                </c:pt>
                <c:pt idx="5">
                  <c:v>BREBES</c:v>
                </c:pt>
                <c:pt idx="6">
                  <c:v>WONOSOBO</c:v>
                </c:pt>
                <c:pt idx="7">
                  <c:v>KOTA SURAKARTA</c:v>
                </c:pt>
                <c:pt idx="8">
                  <c:v>GROBOGAN</c:v>
                </c:pt>
                <c:pt idx="9">
                  <c:v>JEPARA</c:v>
                </c:pt>
                <c:pt idx="10">
                  <c:v>TEGAL</c:v>
                </c:pt>
                <c:pt idx="11">
                  <c:v>SUKOHARJO</c:v>
                </c:pt>
                <c:pt idx="12">
                  <c:v>KOTA TEGAL</c:v>
                </c:pt>
                <c:pt idx="13">
                  <c:v>KOTA SEMARANG</c:v>
                </c:pt>
                <c:pt idx="14">
                  <c:v>KLATEN</c:v>
                </c:pt>
                <c:pt idx="15">
                  <c:v>TEMANGGUNG</c:v>
                </c:pt>
                <c:pt idx="16">
                  <c:v>CILACAP</c:v>
                </c:pt>
                <c:pt idx="17">
                  <c:v>PEMALANG</c:v>
                </c:pt>
                <c:pt idx="18">
                  <c:v>MAGELANG</c:v>
                </c:pt>
                <c:pt idx="19">
                  <c:v>KUDUS</c:v>
                </c:pt>
                <c:pt idx="20">
                  <c:v>KEBUMEN</c:v>
                </c:pt>
                <c:pt idx="21">
                  <c:v>DEMAK</c:v>
                </c:pt>
                <c:pt idx="22">
                  <c:v>PEKALONGAN</c:v>
                </c:pt>
                <c:pt idx="23">
                  <c:v>BANYUMAS</c:v>
                </c:pt>
                <c:pt idx="24">
                  <c:v>SEMARANG</c:v>
                </c:pt>
                <c:pt idx="25">
                  <c:v>PURBALINGGA</c:v>
                </c:pt>
                <c:pt idx="26">
                  <c:v>WONOGIRI</c:v>
                </c:pt>
                <c:pt idx="27">
                  <c:v>PATI</c:v>
                </c:pt>
                <c:pt idx="28">
                  <c:v>BANJARNEGARA</c:v>
                </c:pt>
                <c:pt idx="29">
                  <c:v>BOYOLALI</c:v>
                </c:pt>
                <c:pt idx="30">
                  <c:v>KOTA PEKALONGAN</c:v>
                </c:pt>
                <c:pt idx="31">
                  <c:v>REMBANG</c:v>
                </c:pt>
                <c:pt idx="32">
                  <c:v>KOTA MAGELANG</c:v>
                </c:pt>
                <c:pt idx="33">
                  <c:v>KENDAL</c:v>
                </c:pt>
                <c:pt idx="34">
                  <c:v>BATANG</c:v>
                </c:pt>
                <c:pt idx="35">
                  <c:v>JAWA TENGAH</c:v>
                </c:pt>
              </c:strCache>
            </c:strRef>
          </c:cat>
          <c:val>
            <c:numRef>
              <c:f>'grafik bumil'!$C$4:$C$39</c:f>
            </c:numRef>
          </c:val>
          <c:extLst>
            <c:ext xmlns:c16="http://schemas.microsoft.com/office/drawing/2014/chart" uri="{C3380CC4-5D6E-409C-BE32-E72D297353CC}">
              <c16:uniqueId val="{00000000-1631-439D-AADF-4346C631299E}"/>
            </c:ext>
          </c:extLst>
        </c:ser>
        <c:ser>
          <c:idx val="1"/>
          <c:order val="1"/>
          <c:tx>
            <c:strRef>
              <c:f>'grafik bumil'!$D$3</c:f>
              <c:strCache>
                <c:ptCount val="1"/>
                <c:pt idx="0">
                  <c:v>%TTD/MMS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'grafik bumil'!$B$4:$B$39</c:f>
              <c:strCache>
                <c:ptCount val="36"/>
                <c:pt idx="0">
                  <c:v>KOTA SALATIGA</c:v>
                </c:pt>
                <c:pt idx="1">
                  <c:v>SRAGEN</c:v>
                </c:pt>
                <c:pt idx="2">
                  <c:v>PURWOREJO</c:v>
                </c:pt>
                <c:pt idx="3">
                  <c:v>BLORA</c:v>
                </c:pt>
                <c:pt idx="4">
                  <c:v>KARANGANYAR</c:v>
                </c:pt>
                <c:pt idx="5">
                  <c:v>BREBES</c:v>
                </c:pt>
                <c:pt idx="6">
                  <c:v>WONOSOBO</c:v>
                </c:pt>
                <c:pt idx="7">
                  <c:v>KOTA SURAKARTA</c:v>
                </c:pt>
                <c:pt idx="8">
                  <c:v>GROBOGAN</c:v>
                </c:pt>
                <c:pt idx="9">
                  <c:v>JEPARA</c:v>
                </c:pt>
                <c:pt idx="10">
                  <c:v>TEGAL</c:v>
                </c:pt>
                <c:pt idx="11">
                  <c:v>SUKOHARJO</c:v>
                </c:pt>
                <c:pt idx="12">
                  <c:v>KOTA TEGAL</c:v>
                </c:pt>
                <c:pt idx="13">
                  <c:v>KOTA SEMARANG</c:v>
                </c:pt>
                <c:pt idx="14">
                  <c:v>KLATEN</c:v>
                </c:pt>
                <c:pt idx="15">
                  <c:v>TEMANGGUNG</c:v>
                </c:pt>
                <c:pt idx="16">
                  <c:v>CILACAP</c:v>
                </c:pt>
                <c:pt idx="17">
                  <c:v>PEMALANG</c:v>
                </c:pt>
                <c:pt idx="18">
                  <c:v>MAGELANG</c:v>
                </c:pt>
                <c:pt idx="19">
                  <c:v>KUDUS</c:v>
                </c:pt>
                <c:pt idx="20">
                  <c:v>KEBUMEN</c:v>
                </c:pt>
                <c:pt idx="21">
                  <c:v>DEMAK</c:v>
                </c:pt>
                <c:pt idx="22">
                  <c:v>PEKALONGAN</c:v>
                </c:pt>
                <c:pt idx="23">
                  <c:v>BANYUMAS</c:v>
                </c:pt>
                <c:pt idx="24">
                  <c:v>SEMARANG</c:v>
                </c:pt>
                <c:pt idx="25">
                  <c:v>PURBALINGGA</c:v>
                </c:pt>
                <c:pt idx="26">
                  <c:v>WONOGIRI</c:v>
                </c:pt>
                <c:pt idx="27">
                  <c:v>PATI</c:v>
                </c:pt>
                <c:pt idx="28">
                  <c:v>BANJARNEGARA</c:v>
                </c:pt>
                <c:pt idx="29">
                  <c:v>BOYOLALI</c:v>
                </c:pt>
                <c:pt idx="30">
                  <c:v>KOTA PEKALONGAN</c:v>
                </c:pt>
                <c:pt idx="31">
                  <c:v>REMBANG</c:v>
                </c:pt>
                <c:pt idx="32">
                  <c:v>KOTA MAGELANG</c:v>
                </c:pt>
                <c:pt idx="33">
                  <c:v>KENDAL</c:v>
                </c:pt>
                <c:pt idx="34">
                  <c:v>BATANG</c:v>
                </c:pt>
                <c:pt idx="35">
                  <c:v>JAWA TENGAH</c:v>
                </c:pt>
              </c:strCache>
            </c:strRef>
          </c:cat>
          <c:val>
            <c:numRef>
              <c:f>'grafik bumil'!$D$4:$D$39</c:f>
              <c:numCache>
                <c:formatCode>General</c:formatCode>
                <c:ptCount val="36"/>
                <c:pt idx="0">
                  <c:v>0</c:v>
                </c:pt>
                <c:pt idx="1">
                  <c:v>0.73</c:v>
                </c:pt>
                <c:pt idx="2">
                  <c:v>3.56</c:v>
                </c:pt>
                <c:pt idx="3">
                  <c:v>3.73</c:v>
                </c:pt>
                <c:pt idx="4">
                  <c:v>4.71</c:v>
                </c:pt>
                <c:pt idx="5">
                  <c:v>5.61</c:v>
                </c:pt>
                <c:pt idx="6">
                  <c:v>5.92</c:v>
                </c:pt>
                <c:pt idx="7">
                  <c:v>6.06</c:v>
                </c:pt>
                <c:pt idx="8">
                  <c:v>6.24</c:v>
                </c:pt>
                <c:pt idx="9">
                  <c:v>6.69</c:v>
                </c:pt>
                <c:pt idx="10">
                  <c:v>6.96</c:v>
                </c:pt>
                <c:pt idx="11">
                  <c:v>7.05</c:v>
                </c:pt>
                <c:pt idx="12">
                  <c:v>7.66</c:v>
                </c:pt>
                <c:pt idx="13">
                  <c:v>7.74</c:v>
                </c:pt>
                <c:pt idx="14">
                  <c:v>7.97</c:v>
                </c:pt>
                <c:pt idx="15">
                  <c:v>9.34</c:v>
                </c:pt>
                <c:pt idx="16">
                  <c:v>11.37</c:v>
                </c:pt>
                <c:pt idx="17">
                  <c:v>12.32</c:v>
                </c:pt>
                <c:pt idx="18">
                  <c:v>12.48</c:v>
                </c:pt>
                <c:pt idx="19">
                  <c:v>12.94</c:v>
                </c:pt>
                <c:pt idx="20">
                  <c:v>13.4</c:v>
                </c:pt>
                <c:pt idx="21">
                  <c:v>13.97</c:v>
                </c:pt>
                <c:pt idx="22">
                  <c:v>14.18</c:v>
                </c:pt>
                <c:pt idx="23">
                  <c:v>15.15</c:v>
                </c:pt>
                <c:pt idx="24">
                  <c:v>15.62</c:v>
                </c:pt>
                <c:pt idx="25">
                  <c:v>16.329999999999998</c:v>
                </c:pt>
                <c:pt idx="26">
                  <c:v>17.32</c:v>
                </c:pt>
                <c:pt idx="27">
                  <c:v>18.61</c:v>
                </c:pt>
                <c:pt idx="28">
                  <c:v>19.32</c:v>
                </c:pt>
                <c:pt idx="29">
                  <c:v>22.35</c:v>
                </c:pt>
                <c:pt idx="30">
                  <c:v>22.65</c:v>
                </c:pt>
                <c:pt idx="31">
                  <c:v>24.31</c:v>
                </c:pt>
                <c:pt idx="32">
                  <c:v>25.15</c:v>
                </c:pt>
                <c:pt idx="33">
                  <c:v>27.56</c:v>
                </c:pt>
                <c:pt idx="34">
                  <c:v>29.26</c:v>
                </c:pt>
                <c:pt idx="35">
                  <c:v>11.89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31-439D-AADF-4346C6312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4079519"/>
        <c:axId val="2044079999"/>
      </c:barChart>
      <c:catAx>
        <c:axId val="2044079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079999"/>
        <c:crosses val="autoZero"/>
        <c:auto val="1"/>
        <c:lblAlgn val="ctr"/>
        <c:lblOffset val="100"/>
        <c:noMultiLvlLbl val="0"/>
      </c:catAx>
      <c:valAx>
        <c:axId val="2044079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079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'grafik bumil'!$K$3</c:f>
              <c:strCache>
                <c:ptCount val="1"/>
                <c:pt idx="0">
                  <c:v>% PMT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'grafik bumil'!$J$4:$J$39</c:f>
              <c:strCache>
                <c:ptCount val="36"/>
                <c:pt idx="0">
                  <c:v>WONOSOBO</c:v>
                </c:pt>
                <c:pt idx="1">
                  <c:v>GROBOGAN</c:v>
                </c:pt>
                <c:pt idx="2">
                  <c:v>KENDAL</c:v>
                </c:pt>
                <c:pt idx="3">
                  <c:v>KOTA MAGELANG</c:v>
                </c:pt>
                <c:pt idx="4">
                  <c:v>KOTA SALATIGA</c:v>
                </c:pt>
                <c:pt idx="5">
                  <c:v>TEMANGGUNG</c:v>
                </c:pt>
                <c:pt idx="6">
                  <c:v>KOTA TEGAL</c:v>
                </c:pt>
                <c:pt idx="7">
                  <c:v>KOTA SEMARANG</c:v>
                </c:pt>
                <c:pt idx="8">
                  <c:v>TEGAL</c:v>
                </c:pt>
                <c:pt idx="9">
                  <c:v>PATI</c:v>
                </c:pt>
                <c:pt idx="10">
                  <c:v>BANJARNEGARA</c:v>
                </c:pt>
                <c:pt idx="11">
                  <c:v>BANYUMAS</c:v>
                </c:pt>
                <c:pt idx="12">
                  <c:v>BLORA</c:v>
                </c:pt>
                <c:pt idx="13">
                  <c:v>KARANGANYAR</c:v>
                </c:pt>
                <c:pt idx="14">
                  <c:v>KEBUMEN</c:v>
                </c:pt>
                <c:pt idx="15">
                  <c:v>KOTA PEKALONGAN</c:v>
                </c:pt>
                <c:pt idx="16">
                  <c:v>BREBES</c:v>
                </c:pt>
                <c:pt idx="17">
                  <c:v>REMBANG</c:v>
                </c:pt>
                <c:pt idx="18">
                  <c:v>SRAGEN</c:v>
                </c:pt>
                <c:pt idx="19">
                  <c:v>KLATEN</c:v>
                </c:pt>
                <c:pt idx="20">
                  <c:v>WONOGIRI</c:v>
                </c:pt>
                <c:pt idx="21">
                  <c:v>KUDUS</c:v>
                </c:pt>
                <c:pt idx="22">
                  <c:v>KOTA SURAKARTA</c:v>
                </c:pt>
                <c:pt idx="23">
                  <c:v>PURWOREJO</c:v>
                </c:pt>
                <c:pt idx="24">
                  <c:v>MAGELANG</c:v>
                </c:pt>
                <c:pt idx="25">
                  <c:v>PURBALINGGA</c:v>
                </c:pt>
                <c:pt idx="26">
                  <c:v>PEMALANG</c:v>
                </c:pt>
                <c:pt idx="27">
                  <c:v>SEMARANG</c:v>
                </c:pt>
                <c:pt idx="28">
                  <c:v>BOYOLALI</c:v>
                </c:pt>
                <c:pt idx="29">
                  <c:v>JEPARA</c:v>
                </c:pt>
                <c:pt idx="30">
                  <c:v>BATANG</c:v>
                </c:pt>
                <c:pt idx="31">
                  <c:v>PEKALONGAN</c:v>
                </c:pt>
                <c:pt idx="32">
                  <c:v>SUKOHARJO</c:v>
                </c:pt>
                <c:pt idx="33">
                  <c:v>CILACAP</c:v>
                </c:pt>
                <c:pt idx="34">
                  <c:v>DEMAK</c:v>
                </c:pt>
                <c:pt idx="35">
                  <c:v>JAWA TENGAH</c:v>
                </c:pt>
              </c:strCache>
            </c:strRef>
          </c:cat>
          <c:val>
            <c:numRef>
              <c:f>'grafik bumil'!$K$4:$K$39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8.4700000000000006</c:v>
                </c:pt>
                <c:pt idx="6">
                  <c:v>12.33</c:v>
                </c:pt>
                <c:pt idx="7">
                  <c:v>20.309999999999999</c:v>
                </c:pt>
                <c:pt idx="8">
                  <c:v>24.56</c:v>
                </c:pt>
                <c:pt idx="9">
                  <c:v>27.4</c:v>
                </c:pt>
                <c:pt idx="10">
                  <c:v>37.08</c:v>
                </c:pt>
                <c:pt idx="11">
                  <c:v>42.18</c:v>
                </c:pt>
                <c:pt idx="12">
                  <c:v>44.41</c:v>
                </c:pt>
                <c:pt idx="13">
                  <c:v>47.37</c:v>
                </c:pt>
                <c:pt idx="14">
                  <c:v>48.64</c:v>
                </c:pt>
                <c:pt idx="15">
                  <c:v>52.85</c:v>
                </c:pt>
                <c:pt idx="16">
                  <c:v>62.17</c:v>
                </c:pt>
                <c:pt idx="17">
                  <c:v>72.02</c:v>
                </c:pt>
                <c:pt idx="18">
                  <c:v>74.56</c:v>
                </c:pt>
                <c:pt idx="19">
                  <c:v>82.65</c:v>
                </c:pt>
                <c:pt idx="20">
                  <c:v>82.91</c:v>
                </c:pt>
                <c:pt idx="21">
                  <c:v>86.24</c:v>
                </c:pt>
                <c:pt idx="22">
                  <c:v>100.5</c:v>
                </c:pt>
                <c:pt idx="23">
                  <c:v>111.32</c:v>
                </c:pt>
                <c:pt idx="24">
                  <c:v>140</c:v>
                </c:pt>
                <c:pt idx="25">
                  <c:v>150.1</c:v>
                </c:pt>
                <c:pt idx="26">
                  <c:v>156.44</c:v>
                </c:pt>
                <c:pt idx="27">
                  <c:v>172.31</c:v>
                </c:pt>
                <c:pt idx="28">
                  <c:v>178.53</c:v>
                </c:pt>
                <c:pt idx="29">
                  <c:v>188.65</c:v>
                </c:pt>
                <c:pt idx="30">
                  <c:v>208.29</c:v>
                </c:pt>
                <c:pt idx="31">
                  <c:v>217.53</c:v>
                </c:pt>
                <c:pt idx="32">
                  <c:v>413.82</c:v>
                </c:pt>
                <c:pt idx="33">
                  <c:v>672.46</c:v>
                </c:pt>
                <c:pt idx="34">
                  <c:v>1321.74</c:v>
                </c:pt>
                <c:pt idx="35">
                  <c:v>81.56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69-4042-B9E9-6933D846E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0534399"/>
        <c:axId val="1770535359"/>
      </c:barChart>
      <c:catAx>
        <c:axId val="1770534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535359"/>
        <c:crosses val="autoZero"/>
        <c:auto val="1"/>
        <c:lblAlgn val="ctr"/>
        <c:lblOffset val="100"/>
        <c:noMultiLvlLbl val="0"/>
      </c:catAx>
      <c:valAx>
        <c:axId val="1770535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534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'grafik bumil'!$P$4</c:f>
              <c:strCache>
                <c:ptCount val="1"/>
                <c:pt idx="0">
                  <c:v>% ANC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'grafik bumil'!$O$5:$O$40</c:f>
              <c:strCache>
                <c:ptCount val="36"/>
                <c:pt idx="0">
                  <c:v>KLATEN</c:v>
                </c:pt>
                <c:pt idx="1">
                  <c:v>KOTA MAGELANG</c:v>
                </c:pt>
                <c:pt idx="2">
                  <c:v>BLORA</c:v>
                </c:pt>
                <c:pt idx="3">
                  <c:v>BREBES</c:v>
                </c:pt>
                <c:pt idx="4">
                  <c:v>PEMALANG</c:v>
                </c:pt>
                <c:pt idx="5">
                  <c:v>PURBALINGGA</c:v>
                </c:pt>
                <c:pt idx="6">
                  <c:v>KENDAL</c:v>
                </c:pt>
                <c:pt idx="7">
                  <c:v>PATI</c:v>
                </c:pt>
                <c:pt idx="8">
                  <c:v>WONOSOBO</c:v>
                </c:pt>
                <c:pt idx="9">
                  <c:v>KUDUS</c:v>
                </c:pt>
                <c:pt idx="10">
                  <c:v>REMBANG</c:v>
                </c:pt>
                <c:pt idx="11">
                  <c:v>GROBOGAN</c:v>
                </c:pt>
                <c:pt idx="12">
                  <c:v>BATANG</c:v>
                </c:pt>
                <c:pt idx="13">
                  <c:v>KOTA SALATIGA</c:v>
                </c:pt>
                <c:pt idx="14">
                  <c:v>PURWOREJO</c:v>
                </c:pt>
                <c:pt idx="15">
                  <c:v>BANYUMAS</c:v>
                </c:pt>
                <c:pt idx="16">
                  <c:v>PEKALONGAN</c:v>
                </c:pt>
                <c:pt idx="17">
                  <c:v>CILACAP</c:v>
                </c:pt>
                <c:pt idx="18">
                  <c:v>TEMANGGUNG</c:v>
                </c:pt>
                <c:pt idx="19">
                  <c:v>BANJARNEGARA</c:v>
                </c:pt>
                <c:pt idx="20">
                  <c:v>KOTA SEMARANG</c:v>
                </c:pt>
                <c:pt idx="21">
                  <c:v>TEGAL</c:v>
                </c:pt>
                <c:pt idx="22">
                  <c:v>JEPARA</c:v>
                </c:pt>
                <c:pt idx="23">
                  <c:v>SEMARANG</c:v>
                </c:pt>
                <c:pt idx="24">
                  <c:v>MAGELANG</c:v>
                </c:pt>
                <c:pt idx="25">
                  <c:v>SRAGEN</c:v>
                </c:pt>
                <c:pt idx="26">
                  <c:v>KOTA PEKALONGAN</c:v>
                </c:pt>
                <c:pt idx="27">
                  <c:v>KARANGANYAR</c:v>
                </c:pt>
                <c:pt idx="28">
                  <c:v>SUKOHARJO</c:v>
                </c:pt>
                <c:pt idx="29">
                  <c:v>WONOGIRI</c:v>
                </c:pt>
                <c:pt idx="30">
                  <c:v>BOYOLALI</c:v>
                </c:pt>
                <c:pt idx="31">
                  <c:v>DEMAK</c:v>
                </c:pt>
                <c:pt idx="32">
                  <c:v>KOTA TEGAL</c:v>
                </c:pt>
                <c:pt idx="33">
                  <c:v>KOTA SURAKARTA</c:v>
                </c:pt>
                <c:pt idx="34">
                  <c:v>KEBUMEN</c:v>
                </c:pt>
                <c:pt idx="35">
                  <c:v>JAWA TENGAH</c:v>
                </c:pt>
              </c:strCache>
            </c:strRef>
          </c:cat>
          <c:val>
            <c:numRef>
              <c:f>'grafik bumil'!$P$5:$P$40</c:f>
              <c:numCache>
                <c:formatCode>0.00</c:formatCode>
                <c:ptCount val="36"/>
                <c:pt idx="0">
                  <c:v>29.803313632399963</c:v>
                </c:pt>
                <c:pt idx="1">
                  <c:v>38.437821171634127</c:v>
                </c:pt>
                <c:pt idx="2">
                  <c:v>38.555185482944758</c:v>
                </c:pt>
                <c:pt idx="3">
                  <c:v>38.714291552576732</c:v>
                </c:pt>
                <c:pt idx="4">
                  <c:v>38.931407251506741</c:v>
                </c:pt>
                <c:pt idx="5">
                  <c:v>38.996763754045304</c:v>
                </c:pt>
                <c:pt idx="6">
                  <c:v>39.179340937896072</c:v>
                </c:pt>
                <c:pt idx="7">
                  <c:v>39.374185136896998</c:v>
                </c:pt>
                <c:pt idx="8">
                  <c:v>39.469957515678736</c:v>
                </c:pt>
                <c:pt idx="9">
                  <c:v>39.564353155540829</c:v>
                </c:pt>
                <c:pt idx="10">
                  <c:v>40.735047512576863</c:v>
                </c:pt>
                <c:pt idx="11">
                  <c:v>41.062275756022551</c:v>
                </c:pt>
                <c:pt idx="12">
                  <c:v>41.435438059864538</c:v>
                </c:pt>
                <c:pt idx="13">
                  <c:v>42.864222001982164</c:v>
                </c:pt>
                <c:pt idx="14">
                  <c:v>43.077650023625772</c:v>
                </c:pt>
                <c:pt idx="15">
                  <c:v>43.140664348243199</c:v>
                </c:pt>
                <c:pt idx="16">
                  <c:v>43.317972350230413</c:v>
                </c:pt>
                <c:pt idx="17">
                  <c:v>43.552165894023233</c:v>
                </c:pt>
                <c:pt idx="18">
                  <c:v>44.12883935852134</c:v>
                </c:pt>
                <c:pt idx="19">
                  <c:v>44.171259008054257</c:v>
                </c:pt>
                <c:pt idx="20">
                  <c:v>44.260628987634803</c:v>
                </c:pt>
                <c:pt idx="21">
                  <c:v>44.473738626964433</c:v>
                </c:pt>
                <c:pt idx="22">
                  <c:v>44.540382571732202</c:v>
                </c:pt>
                <c:pt idx="23">
                  <c:v>45.458801498127336</c:v>
                </c:pt>
                <c:pt idx="24">
                  <c:v>45.799683623345267</c:v>
                </c:pt>
                <c:pt idx="25">
                  <c:v>45.802124091671324</c:v>
                </c:pt>
                <c:pt idx="26">
                  <c:v>46.935348446683463</c:v>
                </c:pt>
                <c:pt idx="27">
                  <c:v>47.661947661947664</c:v>
                </c:pt>
                <c:pt idx="28">
                  <c:v>47.693759584758759</c:v>
                </c:pt>
                <c:pt idx="29">
                  <c:v>47.904839145715059</c:v>
                </c:pt>
                <c:pt idx="30">
                  <c:v>48.507102135472024</c:v>
                </c:pt>
                <c:pt idx="31">
                  <c:v>48.844642738230007</c:v>
                </c:pt>
                <c:pt idx="32">
                  <c:v>49.248809087577868</c:v>
                </c:pt>
                <c:pt idx="33">
                  <c:v>51.246612466124667</c:v>
                </c:pt>
                <c:pt idx="34">
                  <c:v>51.468935623695621</c:v>
                </c:pt>
                <c:pt idx="35">
                  <c:v>43.029385546983065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DF-4CF7-BDF8-65A43AB8F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6787327"/>
        <c:axId val="786787807"/>
      </c:barChart>
      <c:catAx>
        <c:axId val="786787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787807"/>
        <c:crosses val="autoZero"/>
        <c:auto val="1"/>
        <c:lblAlgn val="ctr"/>
        <c:lblOffset val="100"/>
        <c:noMultiLvlLbl val="0"/>
      </c:catAx>
      <c:valAx>
        <c:axId val="786787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787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'grafik pertumbuhan'!$C$4</c:f>
              <c:strCache>
                <c:ptCount val="1"/>
                <c:pt idx="0">
                  <c:v>% D/S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'grafik pertumbuhan'!$B$5:$B$40</c:f>
              <c:strCache>
                <c:ptCount val="36"/>
                <c:pt idx="0">
                  <c:v>KOTA SEMARANG</c:v>
                </c:pt>
                <c:pt idx="1">
                  <c:v>BREBES</c:v>
                </c:pt>
                <c:pt idx="2">
                  <c:v>REMBANG</c:v>
                </c:pt>
                <c:pt idx="3">
                  <c:v>PATI</c:v>
                </c:pt>
                <c:pt idx="4">
                  <c:v>SRAGEN</c:v>
                </c:pt>
                <c:pt idx="5">
                  <c:v>GROBOGAN</c:v>
                </c:pt>
                <c:pt idx="6">
                  <c:v>PEKALONGAN</c:v>
                </c:pt>
                <c:pt idx="7">
                  <c:v>BANJARNEGARA</c:v>
                </c:pt>
                <c:pt idx="8">
                  <c:v>KOTA PEKALONGAN</c:v>
                </c:pt>
                <c:pt idx="9">
                  <c:v>TEGAL</c:v>
                </c:pt>
                <c:pt idx="10">
                  <c:v>BATANG</c:v>
                </c:pt>
                <c:pt idx="11">
                  <c:v>KARANGANYAR</c:v>
                </c:pt>
                <c:pt idx="12">
                  <c:v>KOTA SALATIGA</c:v>
                </c:pt>
                <c:pt idx="13">
                  <c:v>MAGELANG</c:v>
                </c:pt>
                <c:pt idx="14">
                  <c:v>BOYOLALI</c:v>
                </c:pt>
                <c:pt idx="15">
                  <c:v>PURBALINGGA</c:v>
                </c:pt>
                <c:pt idx="16">
                  <c:v>JEPARA</c:v>
                </c:pt>
                <c:pt idx="17">
                  <c:v>KOTA MAGELANG</c:v>
                </c:pt>
                <c:pt idx="18">
                  <c:v>WONOSOBO</c:v>
                </c:pt>
                <c:pt idx="19">
                  <c:v>SEMARANG</c:v>
                </c:pt>
                <c:pt idx="20">
                  <c:v>KENDAL</c:v>
                </c:pt>
                <c:pt idx="21">
                  <c:v>CILACAP</c:v>
                </c:pt>
                <c:pt idx="22">
                  <c:v>KUDUS</c:v>
                </c:pt>
                <c:pt idx="23">
                  <c:v>KEBUMEN</c:v>
                </c:pt>
                <c:pt idx="24">
                  <c:v>KOTA TEGAL</c:v>
                </c:pt>
                <c:pt idx="25">
                  <c:v>TEMANGGUNG</c:v>
                </c:pt>
                <c:pt idx="26">
                  <c:v>PURWOREJO</c:v>
                </c:pt>
                <c:pt idx="27">
                  <c:v>PEMALANG</c:v>
                </c:pt>
                <c:pt idx="28">
                  <c:v>KLATEN</c:v>
                </c:pt>
                <c:pt idx="29">
                  <c:v>KOTA SURAKARTA</c:v>
                </c:pt>
                <c:pt idx="30">
                  <c:v>BLORA</c:v>
                </c:pt>
                <c:pt idx="31">
                  <c:v>DEMAK</c:v>
                </c:pt>
                <c:pt idx="32">
                  <c:v>BANYUMAS</c:v>
                </c:pt>
                <c:pt idx="33">
                  <c:v>WONOGIRI</c:v>
                </c:pt>
                <c:pt idx="34">
                  <c:v>SUKOHARJO</c:v>
                </c:pt>
                <c:pt idx="35">
                  <c:v>JAWA TENGAH</c:v>
                </c:pt>
              </c:strCache>
            </c:strRef>
          </c:cat>
          <c:val>
            <c:numRef>
              <c:f>'grafik pertumbuhan'!$C$5:$C$40</c:f>
              <c:numCache>
                <c:formatCode>General</c:formatCode>
                <c:ptCount val="36"/>
                <c:pt idx="0">
                  <c:v>87.49</c:v>
                </c:pt>
                <c:pt idx="1">
                  <c:v>88.55</c:v>
                </c:pt>
                <c:pt idx="2">
                  <c:v>88.88</c:v>
                </c:pt>
                <c:pt idx="3">
                  <c:v>91.55</c:v>
                </c:pt>
                <c:pt idx="4">
                  <c:v>92.04</c:v>
                </c:pt>
                <c:pt idx="5">
                  <c:v>93.25</c:v>
                </c:pt>
                <c:pt idx="6">
                  <c:v>93.95</c:v>
                </c:pt>
                <c:pt idx="7">
                  <c:v>94.31</c:v>
                </c:pt>
                <c:pt idx="8">
                  <c:v>94.41</c:v>
                </c:pt>
                <c:pt idx="9">
                  <c:v>94.65</c:v>
                </c:pt>
                <c:pt idx="10">
                  <c:v>94.69</c:v>
                </c:pt>
                <c:pt idx="11">
                  <c:v>94.96</c:v>
                </c:pt>
                <c:pt idx="12">
                  <c:v>94.99</c:v>
                </c:pt>
                <c:pt idx="13">
                  <c:v>95.6</c:v>
                </c:pt>
                <c:pt idx="14">
                  <c:v>95.86</c:v>
                </c:pt>
                <c:pt idx="15">
                  <c:v>95.89</c:v>
                </c:pt>
                <c:pt idx="16">
                  <c:v>96.12</c:v>
                </c:pt>
                <c:pt idx="17">
                  <c:v>96.42</c:v>
                </c:pt>
                <c:pt idx="18">
                  <c:v>96.63</c:v>
                </c:pt>
                <c:pt idx="19">
                  <c:v>97.4</c:v>
                </c:pt>
                <c:pt idx="20">
                  <c:v>97.54</c:v>
                </c:pt>
                <c:pt idx="21">
                  <c:v>97.67</c:v>
                </c:pt>
                <c:pt idx="22">
                  <c:v>97.83</c:v>
                </c:pt>
                <c:pt idx="23">
                  <c:v>98.01</c:v>
                </c:pt>
                <c:pt idx="24">
                  <c:v>98.1</c:v>
                </c:pt>
                <c:pt idx="25">
                  <c:v>98.21</c:v>
                </c:pt>
                <c:pt idx="26">
                  <c:v>98.22</c:v>
                </c:pt>
                <c:pt idx="27">
                  <c:v>98.24</c:v>
                </c:pt>
                <c:pt idx="28">
                  <c:v>98.6</c:v>
                </c:pt>
                <c:pt idx="29">
                  <c:v>98.74</c:v>
                </c:pt>
                <c:pt idx="30">
                  <c:v>99.3</c:v>
                </c:pt>
                <c:pt idx="31">
                  <c:v>99.41</c:v>
                </c:pt>
                <c:pt idx="32">
                  <c:v>99.48</c:v>
                </c:pt>
                <c:pt idx="33">
                  <c:v>99.54</c:v>
                </c:pt>
                <c:pt idx="34">
                  <c:v>99.88</c:v>
                </c:pt>
                <c:pt idx="35">
                  <c:v>95.66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64-4359-92EE-C87DB3640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8436479"/>
        <c:axId val="2038445119"/>
      </c:barChart>
      <c:catAx>
        <c:axId val="2038436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445119"/>
        <c:crosses val="autoZero"/>
        <c:auto val="1"/>
        <c:lblAlgn val="ctr"/>
        <c:lblOffset val="100"/>
        <c:noMultiLvlLbl val="0"/>
      </c:catAx>
      <c:valAx>
        <c:axId val="2038445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436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'grafik pertumbuhan'!$I$4</c:f>
              <c:strCache>
                <c:ptCount val="1"/>
                <c:pt idx="0">
                  <c:v>% tumbang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'grafik pertumbuhan'!$H$5:$H$40</c:f>
              <c:strCache>
                <c:ptCount val="36"/>
                <c:pt idx="0">
                  <c:v>JEPARA</c:v>
                </c:pt>
                <c:pt idx="1">
                  <c:v>KARANGANYAR</c:v>
                </c:pt>
                <c:pt idx="2">
                  <c:v>TEGAL</c:v>
                </c:pt>
                <c:pt idx="3">
                  <c:v>WONOSOBO</c:v>
                </c:pt>
                <c:pt idx="4">
                  <c:v>SRAGEN</c:v>
                </c:pt>
                <c:pt idx="5">
                  <c:v>KEBUMEN</c:v>
                </c:pt>
                <c:pt idx="6">
                  <c:v>PURBALINGGA</c:v>
                </c:pt>
                <c:pt idx="7">
                  <c:v>BREBES</c:v>
                </c:pt>
                <c:pt idx="8">
                  <c:v>PEKALONGAN</c:v>
                </c:pt>
                <c:pt idx="9">
                  <c:v>KUDUS</c:v>
                </c:pt>
                <c:pt idx="10">
                  <c:v>TEMANGGUNG</c:v>
                </c:pt>
                <c:pt idx="11">
                  <c:v>REMBANG</c:v>
                </c:pt>
                <c:pt idx="12">
                  <c:v>MAGELANG</c:v>
                </c:pt>
                <c:pt idx="13">
                  <c:v>BOYOLALI</c:v>
                </c:pt>
                <c:pt idx="14">
                  <c:v>KOTA TEGAL</c:v>
                </c:pt>
                <c:pt idx="15">
                  <c:v>PEMALANG</c:v>
                </c:pt>
                <c:pt idx="16">
                  <c:v>KOTA MAGELANG</c:v>
                </c:pt>
                <c:pt idx="17">
                  <c:v>SEMARANG</c:v>
                </c:pt>
                <c:pt idx="18">
                  <c:v>CILACAP</c:v>
                </c:pt>
                <c:pt idx="19">
                  <c:v>KLATEN</c:v>
                </c:pt>
                <c:pt idx="20">
                  <c:v>KENDAL</c:v>
                </c:pt>
                <c:pt idx="21">
                  <c:v>PURWOREJO</c:v>
                </c:pt>
                <c:pt idx="22">
                  <c:v>PATI</c:v>
                </c:pt>
                <c:pt idx="23">
                  <c:v>BANJARNEGARA</c:v>
                </c:pt>
                <c:pt idx="24">
                  <c:v>BANYUMAS</c:v>
                </c:pt>
                <c:pt idx="25">
                  <c:v>KOTA SEMARANG</c:v>
                </c:pt>
                <c:pt idx="26">
                  <c:v>WONOGIRI</c:v>
                </c:pt>
                <c:pt idx="27">
                  <c:v>KOTA PEKALONGAN</c:v>
                </c:pt>
                <c:pt idx="28">
                  <c:v>SUKOHARJO</c:v>
                </c:pt>
                <c:pt idx="29">
                  <c:v>KOTA SURAKARTA</c:v>
                </c:pt>
                <c:pt idx="30">
                  <c:v>DEMAK</c:v>
                </c:pt>
                <c:pt idx="31">
                  <c:v>GROBOGAN</c:v>
                </c:pt>
                <c:pt idx="32">
                  <c:v>KOTA SALATIGA</c:v>
                </c:pt>
                <c:pt idx="33">
                  <c:v>BLORA</c:v>
                </c:pt>
                <c:pt idx="34">
                  <c:v>BATANG</c:v>
                </c:pt>
                <c:pt idx="35">
                  <c:v>JAWA TENGAH</c:v>
                </c:pt>
              </c:strCache>
            </c:strRef>
          </c:cat>
          <c:val>
            <c:numRef>
              <c:f>'grafik pertumbuhan'!$I$5:$I$40</c:f>
              <c:numCache>
                <c:formatCode>General</c:formatCode>
                <c:ptCount val="36"/>
                <c:pt idx="0">
                  <c:v>0.23</c:v>
                </c:pt>
                <c:pt idx="1">
                  <c:v>0.56000000000000005</c:v>
                </c:pt>
                <c:pt idx="2">
                  <c:v>0.72</c:v>
                </c:pt>
                <c:pt idx="3">
                  <c:v>1.44</c:v>
                </c:pt>
                <c:pt idx="4">
                  <c:v>1.61</c:v>
                </c:pt>
                <c:pt idx="5">
                  <c:v>2.19</c:v>
                </c:pt>
                <c:pt idx="6">
                  <c:v>2.34</c:v>
                </c:pt>
                <c:pt idx="7">
                  <c:v>2.52</c:v>
                </c:pt>
                <c:pt idx="8">
                  <c:v>2.54</c:v>
                </c:pt>
                <c:pt idx="9">
                  <c:v>2.62</c:v>
                </c:pt>
                <c:pt idx="10">
                  <c:v>2.68</c:v>
                </c:pt>
                <c:pt idx="11">
                  <c:v>2.79</c:v>
                </c:pt>
                <c:pt idx="12">
                  <c:v>2.97</c:v>
                </c:pt>
                <c:pt idx="13">
                  <c:v>3.53</c:v>
                </c:pt>
                <c:pt idx="14">
                  <c:v>3.58</c:v>
                </c:pt>
                <c:pt idx="15">
                  <c:v>3.75</c:v>
                </c:pt>
                <c:pt idx="16">
                  <c:v>5.12</c:v>
                </c:pt>
                <c:pt idx="17">
                  <c:v>5.72</c:v>
                </c:pt>
                <c:pt idx="18">
                  <c:v>6.7</c:v>
                </c:pt>
                <c:pt idx="19">
                  <c:v>7.48</c:v>
                </c:pt>
                <c:pt idx="20">
                  <c:v>8</c:v>
                </c:pt>
                <c:pt idx="21">
                  <c:v>8.2799999999999994</c:v>
                </c:pt>
                <c:pt idx="22">
                  <c:v>10.64</c:v>
                </c:pt>
                <c:pt idx="23">
                  <c:v>10.77</c:v>
                </c:pt>
                <c:pt idx="24">
                  <c:v>10.9</c:v>
                </c:pt>
                <c:pt idx="25">
                  <c:v>11.48</c:v>
                </c:pt>
                <c:pt idx="26">
                  <c:v>11.67</c:v>
                </c:pt>
                <c:pt idx="27">
                  <c:v>12.43</c:v>
                </c:pt>
                <c:pt idx="28">
                  <c:v>14.07</c:v>
                </c:pt>
                <c:pt idx="29">
                  <c:v>16.27</c:v>
                </c:pt>
                <c:pt idx="30">
                  <c:v>16.91</c:v>
                </c:pt>
                <c:pt idx="31">
                  <c:v>17.63</c:v>
                </c:pt>
                <c:pt idx="32">
                  <c:v>24.3</c:v>
                </c:pt>
                <c:pt idx="33">
                  <c:v>25.77</c:v>
                </c:pt>
                <c:pt idx="34">
                  <c:v>84.84</c:v>
                </c:pt>
                <c:pt idx="35">
                  <c:v>8.26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4C-4C46-9B99-C1A5E5D2B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0924207"/>
        <c:axId val="420925647"/>
      </c:barChart>
      <c:catAx>
        <c:axId val="420924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925647"/>
        <c:crosses val="autoZero"/>
        <c:auto val="1"/>
        <c:lblAlgn val="ctr"/>
        <c:lblOffset val="100"/>
        <c:noMultiLvlLbl val="0"/>
      </c:catAx>
      <c:valAx>
        <c:axId val="420925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924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'grafik ASI MPASI'!$C$4</c:f>
              <c:strCache>
                <c:ptCount val="1"/>
                <c:pt idx="0">
                  <c:v>% ASI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'grafik ASI MPASI'!$B$5:$B$40</c:f>
              <c:strCache>
                <c:ptCount val="36"/>
                <c:pt idx="0">
                  <c:v>PEMALANG</c:v>
                </c:pt>
                <c:pt idx="1">
                  <c:v>KUDUS</c:v>
                </c:pt>
                <c:pt idx="2">
                  <c:v>GROBOGAN</c:v>
                </c:pt>
                <c:pt idx="3">
                  <c:v>WONOGIRI</c:v>
                </c:pt>
                <c:pt idx="4">
                  <c:v>KOTA MAGELANG</c:v>
                </c:pt>
                <c:pt idx="5">
                  <c:v>TEMANGGUNG</c:v>
                </c:pt>
                <c:pt idx="6">
                  <c:v>KOTA SALATIGA</c:v>
                </c:pt>
                <c:pt idx="7">
                  <c:v>BREBES</c:v>
                </c:pt>
                <c:pt idx="8">
                  <c:v>SEMARANG</c:v>
                </c:pt>
                <c:pt idx="9">
                  <c:v>KENDAL</c:v>
                </c:pt>
                <c:pt idx="10">
                  <c:v>BANJARNEGARA</c:v>
                </c:pt>
                <c:pt idx="11">
                  <c:v>BLORA</c:v>
                </c:pt>
                <c:pt idx="12">
                  <c:v>PATI</c:v>
                </c:pt>
                <c:pt idx="13">
                  <c:v>BANYUMAS</c:v>
                </c:pt>
                <c:pt idx="14">
                  <c:v>BOYOLALI</c:v>
                </c:pt>
                <c:pt idx="15">
                  <c:v>KARANGANYAR</c:v>
                </c:pt>
                <c:pt idx="16">
                  <c:v>BATANG</c:v>
                </c:pt>
                <c:pt idx="17">
                  <c:v>PURBALINGGA</c:v>
                </c:pt>
                <c:pt idx="18">
                  <c:v>CILACAP</c:v>
                </c:pt>
                <c:pt idx="19">
                  <c:v>WONOSOBO</c:v>
                </c:pt>
                <c:pt idx="20">
                  <c:v>KEBUMEN</c:v>
                </c:pt>
                <c:pt idx="21">
                  <c:v>SUKOHARJO</c:v>
                </c:pt>
                <c:pt idx="22">
                  <c:v>KOTA SURAKARTA</c:v>
                </c:pt>
                <c:pt idx="23">
                  <c:v>KOTA TEGAL</c:v>
                </c:pt>
                <c:pt idx="24">
                  <c:v>PURWOREJO</c:v>
                </c:pt>
                <c:pt idx="25">
                  <c:v>PEKALONGAN</c:v>
                </c:pt>
                <c:pt idx="26">
                  <c:v>REMBANG</c:v>
                </c:pt>
                <c:pt idx="27">
                  <c:v>TEGAL</c:v>
                </c:pt>
                <c:pt idx="28">
                  <c:v>DEMAK</c:v>
                </c:pt>
                <c:pt idx="29">
                  <c:v>KLATEN</c:v>
                </c:pt>
                <c:pt idx="30">
                  <c:v>JEPARA</c:v>
                </c:pt>
                <c:pt idx="31">
                  <c:v>MAGELANG</c:v>
                </c:pt>
                <c:pt idx="32">
                  <c:v>SRAGEN</c:v>
                </c:pt>
                <c:pt idx="33">
                  <c:v>KOTA PEKALONGAN</c:v>
                </c:pt>
                <c:pt idx="34">
                  <c:v>KOTA SEMARANG</c:v>
                </c:pt>
                <c:pt idx="35">
                  <c:v>JAWA TENGAH</c:v>
                </c:pt>
              </c:strCache>
            </c:strRef>
          </c:cat>
          <c:val>
            <c:numRef>
              <c:f>'grafik ASI MPASI'!$C$5:$C$40</c:f>
              <c:numCache>
                <c:formatCode>General</c:formatCode>
                <c:ptCount val="36"/>
                <c:pt idx="0">
                  <c:v>71.099999999999994</c:v>
                </c:pt>
                <c:pt idx="1">
                  <c:v>76.95</c:v>
                </c:pt>
                <c:pt idx="2">
                  <c:v>77.91</c:v>
                </c:pt>
                <c:pt idx="3">
                  <c:v>77.94</c:v>
                </c:pt>
                <c:pt idx="4">
                  <c:v>79.63</c:v>
                </c:pt>
                <c:pt idx="5">
                  <c:v>79.819999999999993</c:v>
                </c:pt>
                <c:pt idx="6">
                  <c:v>80.95</c:v>
                </c:pt>
                <c:pt idx="7">
                  <c:v>86.13</c:v>
                </c:pt>
                <c:pt idx="8">
                  <c:v>86.14</c:v>
                </c:pt>
                <c:pt idx="9">
                  <c:v>86.39</c:v>
                </c:pt>
                <c:pt idx="10">
                  <c:v>87.09</c:v>
                </c:pt>
                <c:pt idx="11">
                  <c:v>87.54</c:v>
                </c:pt>
                <c:pt idx="12">
                  <c:v>88.3</c:v>
                </c:pt>
                <c:pt idx="13">
                  <c:v>88.78</c:v>
                </c:pt>
                <c:pt idx="14">
                  <c:v>89.11</c:v>
                </c:pt>
                <c:pt idx="15">
                  <c:v>89.73</c:v>
                </c:pt>
                <c:pt idx="16">
                  <c:v>90.17</c:v>
                </c:pt>
                <c:pt idx="17">
                  <c:v>90.52</c:v>
                </c:pt>
                <c:pt idx="18">
                  <c:v>90.59</c:v>
                </c:pt>
                <c:pt idx="19">
                  <c:v>91.08</c:v>
                </c:pt>
                <c:pt idx="20">
                  <c:v>91.25</c:v>
                </c:pt>
                <c:pt idx="21">
                  <c:v>91.41</c:v>
                </c:pt>
                <c:pt idx="22">
                  <c:v>91.58</c:v>
                </c:pt>
                <c:pt idx="23">
                  <c:v>92.36</c:v>
                </c:pt>
                <c:pt idx="24">
                  <c:v>92.5</c:v>
                </c:pt>
                <c:pt idx="25">
                  <c:v>93.2</c:v>
                </c:pt>
                <c:pt idx="26">
                  <c:v>93.28</c:v>
                </c:pt>
                <c:pt idx="27">
                  <c:v>93.72</c:v>
                </c:pt>
                <c:pt idx="28">
                  <c:v>93.94</c:v>
                </c:pt>
                <c:pt idx="29">
                  <c:v>94.52</c:v>
                </c:pt>
                <c:pt idx="30">
                  <c:v>94.62</c:v>
                </c:pt>
                <c:pt idx="31">
                  <c:v>96.38</c:v>
                </c:pt>
                <c:pt idx="32">
                  <c:v>96.73</c:v>
                </c:pt>
                <c:pt idx="33">
                  <c:v>97.64</c:v>
                </c:pt>
                <c:pt idx="34">
                  <c:v>97.65</c:v>
                </c:pt>
                <c:pt idx="35">
                  <c:v>89.82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A5-428F-9D1D-B66FF44EA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0929967"/>
        <c:axId val="420926127"/>
      </c:barChart>
      <c:catAx>
        <c:axId val="420929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926127"/>
        <c:crosses val="autoZero"/>
        <c:auto val="1"/>
        <c:lblAlgn val="ctr"/>
        <c:lblOffset val="100"/>
        <c:noMultiLvlLbl val="0"/>
      </c:catAx>
      <c:valAx>
        <c:axId val="42092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929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'grafik ASI MPASI'!$M$4</c:f>
              <c:strCache>
                <c:ptCount val="1"/>
                <c:pt idx="0">
                  <c:v>% MPASI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'grafik ASI MPASI'!$L$5:$L$40</c:f>
              <c:strCache>
                <c:ptCount val="36"/>
                <c:pt idx="0">
                  <c:v>BREBES</c:v>
                </c:pt>
                <c:pt idx="1">
                  <c:v>KLATEN</c:v>
                </c:pt>
                <c:pt idx="2">
                  <c:v>PURBALINGGA</c:v>
                </c:pt>
                <c:pt idx="3">
                  <c:v>GROBOGAN</c:v>
                </c:pt>
                <c:pt idx="4">
                  <c:v>JEPARA</c:v>
                </c:pt>
                <c:pt idx="5">
                  <c:v>REMBANG</c:v>
                </c:pt>
                <c:pt idx="6">
                  <c:v>BLORA</c:v>
                </c:pt>
                <c:pt idx="7">
                  <c:v>BANJARNEGARA</c:v>
                </c:pt>
                <c:pt idx="8">
                  <c:v>KOTA MAGELANG</c:v>
                </c:pt>
                <c:pt idx="9">
                  <c:v>BATANG</c:v>
                </c:pt>
                <c:pt idx="10">
                  <c:v>PEKALONGAN</c:v>
                </c:pt>
                <c:pt idx="11">
                  <c:v>MAGELANG</c:v>
                </c:pt>
                <c:pt idx="12">
                  <c:v>KUDUS</c:v>
                </c:pt>
                <c:pt idx="13">
                  <c:v>TEGAL</c:v>
                </c:pt>
                <c:pt idx="14">
                  <c:v>WONOGIRI</c:v>
                </c:pt>
                <c:pt idx="15">
                  <c:v>KENDAL</c:v>
                </c:pt>
                <c:pt idx="16">
                  <c:v>KEBUMEN</c:v>
                </c:pt>
                <c:pt idx="17">
                  <c:v>BOYOLALI</c:v>
                </c:pt>
                <c:pt idx="18">
                  <c:v>TEMANGGUNG</c:v>
                </c:pt>
                <c:pt idx="19">
                  <c:v>PATI</c:v>
                </c:pt>
                <c:pt idx="20">
                  <c:v>PEMALANG</c:v>
                </c:pt>
                <c:pt idx="21">
                  <c:v>CILACAP</c:v>
                </c:pt>
                <c:pt idx="22">
                  <c:v>KARANGANYAR</c:v>
                </c:pt>
                <c:pt idx="23">
                  <c:v>KOTA PEKALONGAN</c:v>
                </c:pt>
                <c:pt idx="24">
                  <c:v>KOTA TEGAL</c:v>
                </c:pt>
                <c:pt idx="25">
                  <c:v>PURWOREJO</c:v>
                </c:pt>
                <c:pt idx="26">
                  <c:v>SRAGEN</c:v>
                </c:pt>
                <c:pt idx="27">
                  <c:v>KOTA SURAKARTA</c:v>
                </c:pt>
                <c:pt idx="28">
                  <c:v>DEMAK</c:v>
                </c:pt>
                <c:pt idx="29">
                  <c:v>KOTA SALATIGA</c:v>
                </c:pt>
                <c:pt idx="30">
                  <c:v>WONOSOBO</c:v>
                </c:pt>
                <c:pt idx="31">
                  <c:v>BANYUMAS</c:v>
                </c:pt>
                <c:pt idx="32">
                  <c:v>SEMARANG</c:v>
                </c:pt>
                <c:pt idx="33">
                  <c:v>KOTA SEMARANG</c:v>
                </c:pt>
                <c:pt idx="34">
                  <c:v>SUKOHARJO</c:v>
                </c:pt>
                <c:pt idx="35">
                  <c:v>JAWA TENGAH</c:v>
                </c:pt>
              </c:strCache>
            </c:strRef>
          </c:cat>
          <c:val>
            <c:numRef>
              <c:f>'grafik ASI MPASI'!$M$5:$M$40</c:f>
              <c:numCache>
                <c:formatCode>General</c:formatCode>
                <c:ptCount val="36"/>
                <c:pt idx="0">
                  <c:v>88.04</c:v>
                </c:pt>
                <c:pt idx="1">
                  <c:v>89.56</c:v>
                </c:pt>
                <c:pt idx="2">
                  <c:v>90.03</c:v>
                </c:pt>
                <c:pt idx="3">
                  <c:v>90.07</c:v>
                </c:pt>
                <c:pt idx="4">
                  <c:v>90.57</c:v>
                </c:pt>
                <c:pt idx="5">
                  <c:v>91.16</c:v>
                </c:pt>
                <c:pt idx="6">
                  <c:v>91.35</c:v>
                </c:pt>
                <c:pt idx="7">
                  <c:v>91.62</c:v>
                </c:pt>
                <c:pt idx="8">
                  <c:v>92.59</c:v>
                </c:pt>
                <c:pt idx="9">
                  <c:v>92.61</c:v>
                </c:pt>
                <c:pt idx="10">
                  <c:v>92.88</c:v>
                </c:pt>
                <c:pt idx="11">
                  <c:v>92.93</c:v>
                </c:pt>
                <c:pt idx="12">
                  <c:v>92.93</c:v>
                </c:pt>
                <c:pt idx="13">
                  <c:v>93</c:v>
                </c:pt>
                <c:pt idx="14">
                  <c:v>93.04</c:v>
                </c:pt>
                <c:pt idx="15">
                  <c:v>94.63</c:v>
                </c:pt>
                <c:pt idx="16">
                  <c:v>94.72</c:v>
                </c:pt>
                <c:pt idx="17">
                  <c:v>94.79</c:v>
                </c:pt>
                <c:pt idx="18">
                  <c:v>95.18</c:v>
                </c:pt>
                <c:pt idx="19">
                  <c:v>95.37</c:v>
                </c:pt>
                <c:pt idx="20">
                  <c:v>95.52</c:v>
                </c:pt>
                <c:pt idx="21">
                  <c:v>95.88</c:v>
                </c:pt>
                <c:pt idx="22">
                  <c:v>96.18</c:v>
                </c:pt>
                <c:pt idx="23">
                  <c:v>96.26</c:v>
                </c:pt>
                <c:pt idx="24">
                  <c:v>96.42</c:v>
                </c:pt>
                <c:pt idx="25">
                  <c:v>96.63</c:v>
                </c:pt>
                <c:pt idx="26">
                  <c:v>96.84</c:v>
                </c:pt>
                <c:pt idx="27">
                  <c:v>97.38</c:v>
                </c:pt>
                <c:pt idx="28">
                  <c:v>97.44</c:v>
                </c:pt>
                <c:pt idx="29">
                  <c:v>97.62</c:v>
                </c:pt>
                <c:pt idx="30">
                  <c:v>97.94</c:v>
                </c:pt>
                <c:pt idx="31">
                  <c:v>98.18</c:v>
                </c:pt>
                <c:pt idx="32">
                  <c:v>98.18</c:v>
                </c:pt>
                <c:pt idx="33">
                  <c:v>98.39</c:v>
                </c:pt>
                <c:pt idx="34">
                  <c:v>98.5</c:v>
                </c:pt>
                <c:pt idx="35">
                  <c:v>94.54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6E-4FC3-84A1-E796F17FD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8447039"/>
        <c:axId val="2038447999"/>
      </c:barChart>
      <c:catAx>
        <c:axId val="2038447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447999"/>
        <c:crosses val="autoZero"/>
        <c:auto val="1"/>
        <c:lblAlgn val="ctr"/>
        <c:lblOffset val="100"/>
        <c:noMultiLvlLbl val="0"/>
      </c:catAx>
      <c:valAx>
        <c:axId val="2038447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44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'grafik PMT'!$C$4</c:f>
              <c:strCache>
                <c:ptCount val="1"/>
                <c:pt idx="0">
                  <c:v>% BB Tidak Naik (T) dapat 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'grafik PMT'!$B$5:$B$40</c:f>
              <c:strCache>
                <c:ptCount val="36"/>
                <c:pt idx="0">
                  <c:v>DEMAK</c:v>
                </c:pt>
                <c:pt idx="1">
                  <c:v>TEMANGGUNG</c:v>
                </c:pt>
                <c:pt idx="2">
                  <c:v>GROBOGAN</c:v>
                </c:pt>
                <c:pt idx="3">
                  <c:v>PEMALANG</c:v>
                </c:pt>
                <c:pt idx="4">
                  <c:v>PEKALONGAN</c:v>
                </c:pt>
                <c:pt idx="5">
                  <c:v>MAGELANG</c:v>
                </c:pt>
                <c:pt idx="6">
                  <c:v>WONOSOBO</c:v>
                </c:pt>
                <c:pt idx="7">
                  <c:v>CILACAP</c:v>
                </c:pt>
                <c:pt idx="8">
                  <c:v>PATI</c:v>
                </c:pt>
                <c:pt idx="9">
                  <c:v>PURBALINGGA</c:v>
                </c:pt>
                <c:pt idx="10">
                  <c:v>BREBES</c:v>
                </c:pt>
                <c:pt idx="11">
                  <c:v>BANYUMAS</c:v>
                </c:pt>
                <c:pt idx="12">
                  <c:v>KOTA PEKALONGAN</c:v>
                </c:pt>
                <c:pt idx="13">
                  <c:v>BATANG</c:v>
                </c:pt>
                <c:pt idx="14">
                  <c:v>REMBANG</c:v>
                </c:pt>
                <c:pt idx="15">
                  <c:v>KLATEN</c:v>
                </c:pt>
                <c:pt idx="16">
                  <c:v>SEMARANG</c:v>
                </c:pt>
                <c:pt idx="17">
                  <c:v>BLORA</c:v>
                </c:pt>
                <c:pt idx="18">
                  <c:v>TEGAL</c:v>
                </c:pt>
                <c:pt idx="19">
                  <c:v>WONOGIRI</c:v>
                </c:pt>
                <c:pt idx="20">
                  <c:v>KENDAL</c:v>
                </c:pt>
                <c:pt idx="21">
                  <c:v>SUKOHARJO</c:v>
                </c:pt>
                <c:pt idx="22">
                  <c:v>BANJARNEGARA</c:v>
                </c:pt>
                <c:pt idx="23">
                  <c:v>KUDUS</c:v>
                </c:pt>
                <c:pt idx="24">
                  <c:v>SRAGEN</c:v>
                </c:pt>
                <c:pt idx="25">
                  <c:v>KEBUMEN</c:v>
                </c:pt>
                <c:pt idx="26">
                  <c:v>KARANGANYAR</c:v>
                </c:pt>
                <c:pt idx="27">
                  <c:v>PURWOREJO</c:v>
                </c:pt>
                <c:pt idx="28">
                  <c:v>KOTA TEGAL</c:v>
                </c:pt>
                <c:pt idx="29">
                  <c:v>JEPARA</c:v>
                </c:pt>
                <c:pt idx="30">
                  <c:v>KOTA MAGELANG</c:v>
                </c:pt>
                <c:pt idx="31">
                  <c:v>BOYOLALI</c:v>
                </c:pt>
                <c:pt idx="32">
                  <c:v>KOTA SEMARANG</c:v>
                </c:pt>
                <c:pt idx="33">
                  <c:v>KOTA SALATIGA</c:v>
                </c:pt>
                <c:pt idx="34">
                  <c:v>KOTA SURAKARTA</c:v>
                </c:pt>
                <c:pt idx="35">
                  <c:v>JAWA TENGAH</c:v>
                </c:pt>
              </c:strCache>
            </c:strRef>
          </c:cat>
          <c:val>
            <c:numRef>
              <c:f>'grafik PMT'!$C$5:$C$40</c:f>
              <c:numCache>
                <c:formatCode>General</c:formatCode>
                <c:ptCount val="36"/>
                <c:pt idx="0">
                  <c:v>0.01</c:v>
                </c:pt>
                <c:pt idx="1">
                  <c:v>0.02</c:v>
                </c:pt>
                <c:pt idx="2">
                  <c:v>0.05</c:v>
                </c:pt>
                <c:pt idx="3">
                  <c:v>0.83</c:v>
                </c:pt>
                <c:pt idx="4">
                  <c:v>0.86</c:v>
                </c:pt>
                <c:pt idx="5">
                  <c:v>1.24</c:v>
                </c:pt>
                <c:pt idx="6">
                  <c:v>1.37</c:v>
                </c:pt>
                <c:pt idx="7">
                  <c:v>1.51</c:v>
                </c:pt>
                <c:pt idx="8">
                  <c:v>1.53</c:v>
                </c:pt>
                <c:pt idx="9">
                  <c:v>1.58</c:v>
                </c:pt>
                <c:pt idx="10">
                  <c:v>1.7</c:v>
                </c:pt>
                <c:pt idx="11">
                  <c:v>1.76</c:v>
                </c:pt>
                <c:pt idx="12">
                  <c:v>1.76</c:v>
                </c:pt>
                <c:pt idx="13">
                  <c:v>1.92</c:v>
                </c:pt>
                <c:pt idx="14">
                  <c:v>1.96</c:v>
                </c:pt>
                <c:pt idx="15">
                  <c:v>2.5099999999999998</c:v>
                </c:pt>
                <c:pt idx="16">
                  <c:v>2.5499999999999998</c:v>
                </c:pt>
                <c:pt idx="17">
                  <c:v>2.76</c:v>
                </c:pt>
                <c:pt idx="18">
                  <c:v>2.81</c:v>
                </c:pt>
                <c:pt idx="19">
                  <c:v>3.1</c:v>
                </c:pt>
                <c:pt idx="20">
                  <c:v>3.29</c:v>
                </c:pt>
                <c:pt idx="21">
                  <c:v>3.69</c:v>
                </c:pt>
                <c:pt idx="22">
                  <c:v>3.86</c:v>
                </c:pt>
                <c:pt idx="23">
                  <c:v>4.0599999999999996</c:v>
                </c:pt>
                <c:pt idx="24">
                  <c:v>4.8099999999999996</c:v>
                </c:pt>
                <c:pt idx="25">
                  <c:v>4.83</c:v>
                </c:pt>
                <c:pt idx="26">
                  <c:v>5.37</c:v>
                </c:pt>
                <c:pt idx="27">
                  <c:v>5.41</c:v>
                </c:pt>
                <c:pt idx="28">
                  <c:v>5.55</c:v>
                </c:pt>
                <c:pt idx="29">
                  <c:v>6.3</c:v>
                </c:pt>
                <c:pt idx="30">
                  <c:v>6.67</c:v>
                </c:pt>
                <c:pt idx="31">
                  <c:v>7.11</c:v>
                </c:pt>
                <c:pt idx="32">
                  <c:v>9.82</c:v>
                </c:pt>
                <c:pt idx="33">
                  <c:v>11.19</c:v>
                </c:pt>
                <c:pt idx="34">
                  <c:v>18.399999999999999</c:v>
                </c:pt>
                <c:pt idx="35">
                  <c:v>2.85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D3-4437-A573-316F1C821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8437919"/>
        <c:axId val="2038442239"/>
      </c:barChart>
      <c:catAx>
        <c:axId val="2038437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442239"/>
        <c:crosses val="autoZero"/>
        <c:auto val="1"/>
        <c:lblAlgn val="ctr"/>
        <c:lblOffset val="100"/>
        <c:noMultiLvlLbl val="0"/>
      </c:catAx>
      <c:valAx>
        <c:axId val="203844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437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'grafik PMT'!$J$4</c:f>
              <c:strCache>
                <c:ptCount val="1"/>
                <c:pt idx="0">
                  <c:v>% BB kurang dapat 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'grafik PMT'!$I$5:$I$40</c:f>
              <c:strCache>
                <c:ptCount val="36"/>
                <c:pt idx="0">
                  <c:v>DEMAK</c:v>
                </c:pt>
                <c:pt idx="1">
                  <c:v>PEKALONGAN</c:v>
                </c:pt>
                <c:pt idx="2">
                  <c:v>KENDAL</c:v>
                </c:pt>
                <c:pt idx="3">
                  <c:v>PEMALANG</c:v>
                </c:pt>
                <c:pt idx="4">
                  <c:v>TEGAL</c:v>
                </c:pt>
                <c:pt idx="5">
                  <c:v>KOTA TEGAL</c:v>
                </c:pt>
                <c:pt idx="6">
                  <c:v>BANYUMAS</c:v>
                </c:pt>
                <c:pt idx="7">
                  <c:v>MAGELANG</c:v>
                </c:pt>
                <c:pt idx="8">
                  <c:v>BREBES</c:v>
                </c:pt>
                <c:pt idx="9">
                  <c:v>WONOSOBO</c:v>
                </c:pt>
                <c:pt idx="10">
                  <c:v>SRAGEN</c:v>
                </c:pt>
                <c:pt idx="11">
                  <c:v>KEBUMEN</c:v>
                </c:pt>
                <c:pt idx="12">
                  <c:v>KOTA PEKALONGAN</c:v>
                </c:pt>
                <c:pt idx="13">
                  <c:v>BANJARNEGARA</c:v>
                </c:pt>
                <c:pt idx="14">
                  <c:v>TEMANGGUNG</c:v>
                </c:pt>
                <c:pt idx="15">
                  <c:v>SUKOHARJO</c:v>
                </c:pt>
                <c:pt idx="16">
                  <c:v>PURBALINGGA</c:v>
                </c:pt>
                <c:pt idx="17">
                  <c:v>PATI</c:v>
                </c:pt>
                <c:pt idx="18">
                  <c:v>BLORA</c:v>
                </c:pt>
                <c:pt idx="19">
                  <c:v>KARANGANYAR</c:v>
                </c:pt>
                <c:pt idx="20">
                  <c:v>PURWOREJO</c:v>
                </c:pt>
                <c:pt idx="21">
                  <c:v>CILACAP</c:v>
                </c:pt>
                <c:pt idx="22">
                  <c:v>KLATEN</c:v>
                </c:pt>
                <c:pt idx="23">
                  <c:v>KUDUS</c:v>
                </c:pt>
                <c:pt idx="24">
                  <c:v>SEMARANG</c:v>
                </c:pt>
                <c:pt idx="25">
                  <c:v>BATANG</c:v>
                </c:pt>
                <c:pt idx="26">
                  <c:v>BOYOLALI</c:v>
                </c:pt>
                <c:pt idx="27">
                  <c:v>REMBANG</c:v>
                </c:pt>
                <c:pt idx="28">
                  <c:v>GROBOGAN</c:v>
                </c:pt>
                <c:pt idx="29">
                  <c:v>WONOGIRI</c:v>
                </c:pt>
                <c:pt idx="30">
                  <c:v>JEPARA</c:v>
                </c:pt>
                <c:pt idx="31">
                  <c:v>KOTA MAGELANG</c:v>
                </c:pt>
                <c:pt idx="32">
                  <c:v>KOTA SURAKARTA</c:v>
                </c:pt>
                <c:pt idx="33">
                  <c:v>KOTA SALATIGA</c:v>
                </c:pt>
                <c:pt idx="34">
                  <c:v>KOTA SEMARANG</c:v>
                </c:pt>
                <c:pt idx="35">
                  <c:v>JAWA TENGAH</c:v>
                </c:pt>
              </c:strCache>
            </c:strRef>
          </c:cat>
          <c:val>
            <c:numRef>
              <c:f>'grafik PMT'!$J$5:$J$40</c:f>
              <c:numCache>
                <c:formatCode>General</c:formatCode>
                <c:ptCount val="36"/>
                <c:pt idx="0">
                  <c:v>0</c:v>
                </c:pt>
                <c:pt idx="1">
                  <c:v>0.64</c:v>
                </c:pt>
                <c:pt idx="2">
                  <c:v>2.6</c:v>
                </c:pt>
                <c:pt idx="3">
                  <c:v>2.68</c:v>
                </c:pt>
                <c:pt idx="4">
                  <c:v>3.06</c:v>
                </c:pt>
                <c:pt idx="5">
                  <c:v>3.11</c:v>
                </c:pt>
                <c:pt idx="6">
                  <c:v>3.59</c:v>
                </c:pt>
                <c:pt idx="7">
                  <c:v>3.81</c:v>
                </c:pt>
                <c:pt idx="8">
                  <c:v>4.13</c:v>
                </c:pt>
                <c:pt idx="9">
                  <c:v>4.63</c:v>
                </c:pt>
                <c:pt idx="10">
                  <c:v>5.49</c:v>
                </c:pt>
                <c:pt idx="11">
                  <c:v>6.68</c:v>
                </c:pt>
                <c:pt idx="12">
                  <c:v>6.74</c:v>
                </c:pt>
                <c:pt idx="13">
                  <c:v>6.78</c:v>
                </c:pt>
                <c:pt idx="14">
                  <c:v>6.92</c:v>
                </c:pt>
                <c:pt idx="15">
                  <c:v>7.01</c:v>
                </c:pt>
                <c:pt idx="16">
                  <c:v>7.99</c:v>
                </c:pt>
                <c:pt idx="17">
                  <c:v>8.2100000000000009</c:v>
                </c:pt>
                <c:pt idx="18">
                  <c:v>8.43</c:v>
                </c:pt>
                <c:pt idx="19">
                  <c:v>8.65</c:v>
                </c:pt>
                <c:pt idx="20">
                  <c:v>8.7200000000000006</c:v>
                </c:pt>
                <c:pt idx="21">
                  <c:v>8.74</c:v>
                </c:pt>
                <c:pt idx="22">
                  <c:v>9.5399999999999991</c:v>
                </c:pt>
                <c:pt idx="23">
                  <c:v>10.4</c:v>
                </c:pt>
                <c:pt idx="24">
                  <c:v>10.64</c:v>
                </c:pt>
                <c:pt idx="25">
                  <c:v>11.28</c:v>
                </c:pt>
                <c:pt idx="26">
                  <c:v>11.49</c:v>
                </c:pt>
                <c:pt idx="27">
                  <c:v>11.63</c:v>
                </c:pt>
                <c:pt idx="28">
                  <c:v>12.73</c:v>
                </c:pt>
                <c:pt idx="29">
                  <c:v>14.69</c:v>
                </c:pt>
                <c:pt idx="30">
                  <c:v>17.04</c:v>
                </c:pt>
                <c:pt idx="31">
                  <c:v>18.559999999999999</c:v>
                </c:pt>
                <c:pt idx="32">
                  <c:v>20.71</c:v>
                </c:pt>
                <c:pt idx="33">
                  <c:v>22.42</c:v>
                </c:pt>
                <c:pt idx="34">
                  <c:v>25.72</c:v>
                </c:pt>
                <c:pt idx="35">
                  <c:v>7.43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13-468F-A908-B85861EBC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0927087"/>
        <c:axId val="420919887"/>
      </c:barChart>
      <c:catAx>
        <c:axId val="420927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919887"/>
        <c:crosses val="autoZero"/>
        <c:auto val="1"/>
        <c:lblAlgn val="ctr"/>
        <c:lblOffset val="100"/>
        <c:noMultiLvlLbl val="0"/>
      </c:catAx>
      <c:valAx>
        <c:axId val="420919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927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'grafik PMT'!$Q$4</c:f>
              <c:strCache>
                <c:ptCount val="1"/>
                <c:pt idx="0">
                  <c:v>% gizi kurang dapat 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'grafik PMT'!$P$5:$P$40</c:f>
              <c:strCache>
                <c:ptCount val="36"/>
                <c:pt idx="0">
                  <c:v>KOTA TEGAL</c:v>
                </c:pt>
                <c:pt idx="1">
                  <c:v>PEMALANG</c:v>
                </c:pt>
                <c:pt idx="2">
                  <c:v>TEGAL</c:v>
                </c:pt>
                <c:pt idx="3">
                  <c:v>KENDAL</c:v>
                </c:pt>
                <c:pt idx="4">
                  <c:v>KUDUS</c:v>
                </c:pt>
                <c:pt idx="5">
                  <c:v>BREBES</c:v>
                </c:pt>
                <c:pt idx="6">
                  <c:v>PEKALONGAN</c:v>
                </c:pt>
                <c:pt idx="7">
                  <c:v>GROBOGAN</c:v>
                </c:pt>
                <c:pt idx="8">
                  <c:v>MAGELANG</c:v>
                </c:pt>
                <c:pt idx="9">
                  <c:v>WONOSOBO</c:v>
                </c:pt>
                <c:pt idx="10">
                  <c:v>KEBUMEN</c:v>
                </c:pt>
                <c:pt idx="11">
                  <c:v>KOTA PEKALONGAN</c:v>
                </c:pt>
                <c:pt idx="12">
                  <c:v>BANYUMAS</c:v>
                </c:pt>
                <c:pt idx="13">
                  <c:v>CILACAP</c:v>
                </c:pt>
                <c:pt idx="14">
                  <c:v>PATI</c:v>
                </c:pt>
                <c:pt idx="15">
                  <c:v>KARANGANYAR</c:v>
                </c:pt>
                <c:pt idx="16">
                  <c:v>WONOGIRI</c:v>
                </c:pt>
                <c:pt idx="17">
                  <c:v>KLATEN</c:v>
                </c:pt>
                <c:pt idx="18">
                  <c:v>SRAGEN</c:v>
                </c:pt>
                <c:pt idx="19">
                  <c:v>BANJARNEGARA</c:v>
                </c:pt>
                <c:pt idx="20">
                  <c:v>PURBALINGGA</c:v>
                </c:pt>
                <c:pt idx="21">
                  <c:v>PURWOREJO</c:v>
                </c:pt>
                <c:pt idx="22">
                  <c:v>BOYOLALI</c:v>
                </c:pt>
                <c:pt idx="23">
                  <c:v>BLORA</c:v>
                </c:pt>
                <c:pt idx="24">
                  <c:v>TEMANGGUNG</c:v>
                </c:pt>
                <c:pt idx="25">
                  <c:v>REMBANG</c:v>
                </c:pt>
                <c:pt idx="26">
                  <c:v>KOTA MAGELANG</c:v>
                </c:pt>
                <c:pt idx="27">
                  <c:v>SEMARANG</c:v>
                </c:pt>
                <c:pt idx="28">
                  <c:v>JEPARA</c:v>
                </c:pt>
                <c:pt idx="29">
                  <c:v>SUKOHARJO</c:v>
                </c:pt>
                <c:pt idx="30">
                  <c:v>KOTA SALATIGA</c:v>
                </c:pt>
                <c:pt idx="31">
                  <c:v>BATANG</c:v>
                </c:pt>
                <c:pt idx="32">
                  <c:v>DEMAK</c:v>
                </c:pt>
                <c:pt idx="33">
                  <c:v>KOTA SEMARANG</c:v>
                </c:pt>
                <c:pt idx="34">
                  <c:v>KOTA SURAKARTA</c:v>
                </c:pt>
                <c:pt idx="35">
                  <c:v>JAWA TENGAH</c:v>
                </c:pt>
              </c:strCache>
            </c:strRef>
          </c:cat>
          <c:val>
            <c:numRef>
              <c:f>'grafik PMT'!$Q$5:$Q$40</c:f>
              <c:numCache>
                <c:formatCode>General</c:formatCode>
                <c:ptCount val="36"/>
                <c:pt idx="0">
                  <c:v>0.45</c:v>
                </c:pt>
                <c:pt idx="1">
                  <c:v>1.36</c:v>
                </c:pt>
                <c:pt idx="2">
                  <c:v>3.55</c:v>
                </c:pt>
                <c:pt idx="3">
                  <c:v>3.85</c:v>
                </c:pt>
                <c:pt idx="4">
                  <c:v>3.92</c:v>
                </c:pt>
                <c:pt idx="5">
                  <c:v>4.18</c:v>
                </c:pt>
                <c:pt idx="6">
                  <c:v>4.6900000000000004</c:v>
                </c:pt>
                <c:pt idx="7">
                  <c:v>4.75</c:v>
                </c:pt>
                <c:pt idx="8">
                  <c:v>4.84</c:v>
                </c:pt>
                <c:pt idx="9">
                  <c:v>5.5</c:v>
                </c:pt>
                <c:pt idx="10">
                  <c:v>5.94</c:v>
                </c:pt>
                <c:pt idx="11">
                  <c:v>7.38</c:v>
                </c:pt>
                <c:pt idx="12">
                  <c:v>7.82</c:v>
                </c:pt>
                <c:pt idx="13">
                  <c:v>8.2799999999999994</c:v>
                </c:pt>
                <c:pt idx="14">
                  <c:v>9.1999999999999993</c:v>
                </c:pt>
                <c:pt idx="15">
                  <c:v>9.84</c:v>
                </c:pt>
                <c:pt idx="16">
                  <c:v>10.25</c:v>
                </c:pt>
                <c:pt idx="17">
                  <c:v>10.52</c:v>
                </c:pt>
                <c:pt idx="18">
                  <c:v>10.61</c:v>
                </c:pt>
                <c:pt idx="19">
                  <c:v>10.78</c:v>
                </c:pt>
                <c:pt idx="20">
                  <c:v>11.46</c:v>
                </c:pt>
                <c:pt idx="21">
                  <c:v>11.46</c:v>
                </c:pt>
                <c:pt idx="22">
                  <c:v>12.08</c:v>
                </c:pt>
                <c:pt idx="23">
                  <c:v>12.17</c:v>
                </c:pt>
                <c:pt idx="24">
                  <c:v>12.18</c:v>
                </c:pt>
                <c:pt idx="25">
                  <c:v>12.51</c:v>
                </c:pt>
                <c:pt idx="26">
                  <c:v>13.13</c:v>
                </c:pt>
                <c:pt idx="27">
                  <c:v>13.72</c:v>
                </c:pt>
                <c:pt idx="28">
                  <c:v>14.87</c:v>
                </c:pt>
                <c:pt idx="29">
                  <c:v>17.29</c:v>
                </c:pt>
                <c:pt idx="30">
                  <c:v>19.18</c:v>
                </c:pt>
                <c:pt idx="31">
                  <c:v>19.71</c:v>
                </c:pt>
                <c:pt idx="32">
                  <c:v>21.07</c:v>
                </c:pt>
                <c:pt idx="33">
                  <c:v>24.84</c:v>
                </c:pt>
                <c:pt idx="34">
                  <c:v>25.87</c:v>
                </c:pt>
                <c:pt idx="35">
                  <c:v>9.24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5B-4B4B-9331-4B38E9895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4087199"/>
        <c:axId val="2044091999"/>
      </c:barChart>
      <c:catAx>
        <c:axId val="2044087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091999"/>
        <c:crosses val="autoZero"/>
        <c:auto val="1"/>
        <c:lblAlgn val="ctr"/>
        <c:lblOffset val="100"/>
        <c:noMultiLvlLbl val="0"/>
      </c:catAx>
      <c:valAx>
        <c:axId val="2044091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087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'grafik gibur'!$C$4</c:f>
              <c:strCache>
                <c:ptCount val="1"/>
                <c:pt idx="0">
                  <c:v>% Talak gibur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'grafik gibur'!$B$5:$B$40</c:f>
              <c:strCache>
                <c:ptCount val="36"/>
                <c:pt idx="0">
                  <c:v>SEMARANG</c:v>
                </c:pt>
                <c:pt idx="1">
                  <c:v>KOTA MAGELANG</c:v>
                </c:pt>
                <c:pt idx="2">
                  <c:v>KOTA SURAKARTA</c:v>
                </c:pt>
                <c:pt idx="3">
                  <c:v>MAGELANG</c:v>
                </c:pt>
                <c:pt idx="4">
                  <c:v>JEPARA</c:v>
                </c:pt>
                <c:pt idx="5">
                  <c:v>KOTA TEGAL</c:v>
                </c:pt>
                <c:pt idx="6">
                  <c:v>TEMANGGUNG</c:v>
                </c:pt>
                <c:pt idx="7">
                  <c:v>SRAGEN</c:v>
                </c:pt>
                <c:pt idx="8">
                  <c:v>KUDUS</c:v>
                </c:pt>
                <c:pt idx="9">
                  <c:v>KENDAL</c:v>
                </c:pt>
                <c:pt idx="10">
                  <c:v>GROBOGAN</c:v>
                </c:pt>
                <c:pt idx="11">
                  <c:v>PEMALANG</c:v>
                </c:pt>
                <c:pt idx="12">
                  <c:v>KLATEN</c:v>
                </c:pt>
                <c:pt idx="13">
                  <c:v>BREBES</c:v>
                </c:pt>
                <c:pt idx="14">
                  <c:v>PURBALINGGA</c:v>
                </c:pt>
                <c:pt idx="15">
                  <c:v>PATI</c:v>
                </c:pt>
                <c:pt idx="16">
                  <c:v>REMBANG</c:v>
                </c:pt>
                <c:pt idx="17">
                  <c:v>CILACAP</c:v>
                </c:pt>
                <c:pt idx="18">
                  <c:v>WONOSOBO</c:v>
                </c:pt>
                <c:pt idx="19">
                  <c:v>KEBUMEN</c:v>
                </c:pt>
                <c:pt idx="20">
                  <c:v>BATANG</c:v>
                </c:pt>
                <c:pt idx="21">
                  <c:v>PURWOREJO</c:v>
                </c:pt>
                <c:pt idx="22">
                  <c:v>BLORA</c:v>
                </c:pt>
                <c:pt idx="23">
                  <c:v>BOYOLALI</c:v>
                </c:pt>
                <c:pt idx="24">
                  <c:v>KOTA SALATIGA</c:v>
                </c:pt>
                <c:pt idx="25">
                  <c:v>BANJARNEGARA</c:v>
                </c:pt>
                <c:pt idx="26">
                  <c:v>WONOGIRI</c:v>
                </c:pt>
                <c:pt idx="27">
                  <c:v>KARANGANYAR</c:v>
                </c:pt>
                <c:pt idx="28">
                  <c:v>TEGAL</c:v>
                </c:pt>
                <c:pt idx="29">
                  <c:v>DEMAK</c:v>
                </c:pt>
                <c:pt idx="30">
                  <c:v>BANYUMAS</c:v>
                </c:pt>
                <c:pt idx="31">
                  <c:v>SUKOHARJO</c:v>
                </c:pt>
                <c:pt idx="32">
                  <c:v>PEKALONGAN</c:v>
                </c:pt>
                <c:pt idx="33">
                  <c:v>KOTA PEKALONGAN</c:v>
                </c:pt>
                <c:pt idx="34">
                  <c:v>KOTA SEMARANG</c:v>
                </c:pt>
                <c:pt idx="35">
                  <c:v>JAWA TENGAH</c:v>
                </c:pt>
              </c:strCache>
            </c:strRef>
          </c:cat>
          <c:val>
            <c:numRef>
              <c:f>'grafik gibur'!$C$5:$C$40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0.52</c:v>
                </c:pt>
                <c:pt idx="4">
                  <c:v>0.71</c:v>
                </c:pt>
                <c:pt idx="5">
                  <c:v>1.67</c:v>
                </c:pt>
                <c:pt idx="6">
                  <c:v>1.89</c:v>
                </c:pt>
                <c:pt idx="7">
                  <c:v>3.57</c:v>
                </c:pt>
                <c:pt idx="8">
                  <c:v>4.49</c:v>
                </c:pt>
                <c:pt idx="9">
                  <c:v>4.75</c:v>
                </c:pt>
                <c:pt idx="10">
                  <c:v>5.07</c:v>
                </c:pt>
                <c:pt idx="11">
                  <c:v>7.57</c:v>
                </c:pt>
                <c:pt idx="12">
                  <c:v>8.31</c:v>
                </c:pt>
                <c:pt idx="13">
                  <c:v>8.4</c:v>
                </c:pt>
                <c:pt idx="14">
                  <c:v>9.39</c:v>
                </c:pt>
                <c:pt idx="15">
                  <c:v>10.92</c:v>
                </c:pt>
                <c:pt idx="16">
                  <c:v>13.7</c:v>
                </c:pt>
                <c:pt idx="17">
                  <c:v>14.37</c:v>
                </c:pt>
                <c:pt idx="18">
                  <c:v>15.24</c:v>
                </c:pt>
                <c:pt idx="19">
                  <c:v>16.670000000000002</c:v>
                </c:pt>
                <c:pt idx="20">
                  <c:v>17.420000000000002</c:v>
                </c:pt>
                <c:pt idx="21">
                  <c:v>19.61</c:v>
                </c:pt>
                <c:pt idx="22">
                  <c:v>20</c:v>
                </c:pt>
                <c:pt idx="23">
                  <c:v>23.08</c:v>
                </c:pt>
                <c:pt idx="24">
                  <c:v>28.57</c:v>
                </c:pt>
                <c:pt idx="25">
                  <c:v>33.03</c:v>
                </c:pt>
                <c:pt idx="26">
                  <c:v>35.39</c:v>
                </c:pt>
                <c:pt idx="27">
                  <c:v>41.18</c:v>
                </c:pt>
                <c:pt idx="28">
                  <c:v>41.37</c:v>
                </c:pt>
                <c:pt idx="29">
                  <c:v>55.24</c:v>
                </c:pt>
                <c:pt idx="30">
                  <c:v>62.88</c:v>
                </c:pt>
                <c:pt idx="31">
                  <c:v>68.7</c:v>
                </c:pt>
                <c:pt idx="32">
                  <c:v>78.97</c:v>
                </c:pt>
                <c:pt idx="33">
                  <c:v>83.9</c:v>
                </c:pt>
                <c:pt idx="34">
                  <c:v>100</c:v>
                </c:pt>
                <c:pt idx="35">
                  <c:v>26.28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7B-457C-B1BE-85067CC35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0923727"/>
        <c:axId val="420928527"/>
      </c:barChart>
      <c:catAx>
        <c:axId val="420923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928527"/>
        <c:crosses val="autoZero"/>
        <c:auto val="1"/>
        <c:lblAlgn val="ctr"/>
        <c:lblOffset val="100"/>
        <c:noMultiLvlLbl val="0"/>
      </c:catAx>
      <c:valAx>
        <c:axId val="420928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923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'grafik imunisasi'!$C$4</c:f>
              <c:strCache>
                <c:ptCount val="1"/>
                <c:pt idx="0">
                  <c:v>% IDL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'grafik imunisasi'!$B$5:$B$40</c:f>
              <c:strCache>
                <c:ptCount val="36"/>
                <c:pt idx="0">
                  <c:v>PURWOREJO</c:v>
                </c:pt>
                <c:pt idx="1">
                  <c:v>KEBUMEN</c:v>
                </c:pt>
                <c:pt idx="2">
                  <c:v>TEMANGGUNG</c:v>
                </c:pt>
                <c:pt idx="3">
                  <c:v>TEGAL</c:v>
                </c:pt>
                <c:pt idx="4">
                  <c:v>BLORA</c:v>
                </c:pt>
                <c:pt idx="5">
                  <c:v>CILACAP</c:v>
                </c:pt>
                <c:pt idx="6">
                  <c:v>KLATEN</c:v>
                </c:pt>
                <c:pt idx="7">
                  <c:v>PEMALANG</c:v>
                </c:pt>
                <c:pt idx="8">
                  <c:v>WONOSOBO</c:v>
                </c:pt>
                <c:pt idx="9">
                  <c:v>WONOGIRI</c:v>
                </c:pt>
                <c:pt idx="10">
                  <c:v>PURBALINGGA</c:v>
                </c:pt>
                <c:pt idx="11">
                  <c:v>KARANGANYAR</c:v>
                </c:pt>
                <c:pt idx="12">
                  <c:v>BANYUMAS</c:v>
                </c:pt>
                <c:pt idx="13">
                  <c:v>KOTA MAGELANG</c:v>
                </c:pt>
                <c:pt idx="14">
                  <c:v>BREBES</c:v>
                </c:pt>
                <c:pt idx="15">
                  <c:v>KOTA PEKALONGAN</c:v>
                </c:pt>
                <c:pt idx="16">
                  <c:v>BANJARNEGARA</c:v>
                </c:pt>
                <c:pt idx="17">
                  <c:v>BOYOLALI</c:v>
                </c:pt>
                <c:pt idx="18">
                  <c:v>MAGELANG</c:v>
                </c:pt>
                <c:pt idx="19">
                  <c:v>KENDAL</c:v>
                </c:pt>
                <c:pt idx="20">
                  <c:v>JEPARA</c:v>
                </c:pt>
                <c:pt idx="21">
                  <c:v>SEMARANG</c:v>
                </c:pt>
                <c:pt idx="22">
                  <c:v>BATANG</c:v>
                </c:pt>
                <c:pt idx="23">
                  <c:v>SRAGEN</c:v>
                </c:pt>
                <c:pt idx="24">
                  <c:v>KOTA SURAKARTA</c:v>
                </c:pt>
                <c:pt idx="25">
                  <c:v>SUKOHARJO</c:v>
                </c:pt>
                <c:pt idx="26">
                  <c:v>PEKALONGAN</c:v>
                </c:pt>
                <c:pt idx="27">
                  <c:v>REMBANG</c:v>
                </c:pt>
                <c:pt idx="28">
                  <c:v>GROBOGAN</c:v>
                </c:pt>
                <c:pt idx="29">
                  <c:v>PATI</c:v>
                </c:pt>
                <c:pt idx="30">
                  <c:v>DEMAK</c:v>
                </c:pt>
                <c:pt idx="31">
                  <c:v>KOTA SALATIGA</c:v>
                </c:pt>
                <c:pt idx="32">
                  <c:v>KUDUS</c:v>
                </c:pt>
                <c:pt idx="33">
                  <c:v>KOTA TEGAL</c:v>
                </c:pt>
                <c:pt idx="34">
                  <c:v>KOTA SEMARANG</c:v>
                </c:pt>
                <c:pt idx="35">
                  <c:v>JAWA TENGAH</c:v>
                </c:pt>
              </c:strCache>
            </c:strRef>
          </c:cat>
          <c:val>
            <c:numRef>
              <c:f>'grafik imunisasi'!$C$5:$C$40</c:f>
              <c:numCache>
                <c:formatCode>0.00</c:formatCode>
                <c:ptCount val="36"/>
                <c:pt idx="0">
                  <c:v>24.694104560622915</c:v>
                </c:pt>
                <c:pt idx="1">
                  <c:v>24.886145127011435</c:v>
                </c:pt>
                <c:pt idx="2">
                  <c:v>26.068231717615269</c:v>
                </c:pt>
                <c:pt idx="3">
                  <c:v>26.319421742762707</c:v>
                </c:pt>
                <c:pt idx="4">
                  <c:v>26.780495308414093</c:v>
                </c:pt>
                <c:pt idx="5">
                  <c:v>26.952396014550057</c:v>
                </c:pt>
                <c:pt idx="6">
                  <c:v>27.498845798707293</c:v>
                </c:pt>
                <c:pt idx="7">
                  <c:v>28.783068783068781</c:v>
                </c:pt>
                <c:pt idx="8">
                  <c:v>29.215811284666881</c:v>
                </c:pt>
                <c:pt idx="9">
                  <c:v>29.393414211438472</c:v>
                </c:pt>
                <c:pt idx="10">
                  <c:v>29.49743344872866</c:v>
                </c:pt>
                <c:pt idx="11">
                  <c:v>29.516539440203559</c:v>
                </c:pt>
                <c:pt idx="12">
                  <c:v>29.675580518065221</c:v>
                </c:pt>
                <c:pt idx="13">
                  <c:v>30.14388489208633</c:v>
                </c:pt>
                <c:pt idx="14">
                  <c:v>30.549098922329215</c:v>
                </c:pt>
                <c:pt idx="15">
                  <c:v>30.579899310087637</c:v>
                </c:pt>
                <c:pt idx="16">
                  <c:v>31.058068118369626</c:v>
                </c:pt>
                <c:pt idx="17">
                  <c:v>31.241551049448596</c:v>
                </c:pt>
                <c:pt idx="18">
                  <c:v>31.410064773293474</c:v>
                </c:pt>
                <c:pt idx="19">
                  <c:v>31.783872185180527</c:v>
                </c:pt>
                <c:pt idx="20">
                  <c:v>32.338203491745347</c:v>
                </c:pt>
                <c:pt idx="21">
                  <c:v>32.460312557909695</c:v>
                </c:pt>
                <c:pt idx="22">
                  <c:v>32.540451867869656</c:v>
                </c:pt>
                <c:pt idx="23">
                  <c:v>33.556392025651746</c:v>
                </c:pt>
                <c:pt idx="24">
                  <c:v>34.010512856939904</c:v>
                </c:pt>
                <c:pt idx="25">
                  <c:v>34.095009019843658</c:v>
                </c:pt>
                <c:pt idx="26">
                  <c:v>34.403509993732158</c:v>
                </c:pt>
                <c:pt idx="27">
                  <c:v>35.27786306416948</c:v>
                </c:pt>
                <c:pt idx="28">
                  <c:v>36.405073325406264</c:v>
                </c:pt>
                <c:pt idx="29">
                  <c:v>37.336272856957592</c:v>
                </c:pt>
                <c:pt idx="30">
                  <c:v>37.527649306253771</c:v>
                </c:pt>
                <c:pt idx="31">
                  <c:v>44.352000000000004</c:v>
                </c:pt>
                <c:pt idx="32">
                  <c:v>45.582905466626393</c:v>
                </c:pt>
                <c:pt idx="33">
                  <c:v>47.877869207449116</c:v>
                </c:pt>
                <c:pt idx="34">
                  <c:v>48.317507548243121</c:v>
                </c:pt>
                <c:pt idx="35">
                  <c:v>31.931411006437976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40-468C-BEF7-DC8E20929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8450399"/>
        <c:axId val="2038451359"/>
      </c:barChart>
      <c:catAx>
        <c:axId val="2038450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451359"/>
        <c:crosses val="autoZero"/>
        <c:auto val="1"/>
        <c:lblAlgn val="ctr"/>
        <c:lblOffset val="100"/>
        <c:noMultiLvlLbl val="0"/>
      </c:catAx>
      <c:valAx>
        <c:axId val="203845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450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76200</xdr:rowOff>
    </xdr:from>
    <xdr:to>
      <xdr:col>5</xdr:col>
      <xdr:colOff>952500</xdr:colOff>
      <xdr:row>57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8CB147-1BAA-6D99-D265-9B734F2B43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1216025</xdr:colOff>
      <xdr:row>42</xdr:row>
      <xdr:rowOff>127000</xdr:rowOff>
    </xdr:from>
    <xdr:to>
      <xdr:col>11</xdr:col>
      <xdr:colOff>587375</xdr:colOff>
      <xdr:row>57</xdr:row>
      <xdr:rowOff>107950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DA690E-7858-9759-0EBC-C032F7FCF1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15875</xdr:colOff>
      <xdr:row>42</xdr:row>
      <xdr:rowOff>158750</xdr:rowOff>
    </xdr:from>
    <xdr:to>
      <xdr:col>20</xdr:col>
      <xdr:colOff>320675</xdr:colOff>
      <xdr:row>57</xdr:row>
      <xdr:rowOff>139700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FC4749-26C1-25D4-5979-63706510C7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42</xdr:row>
      <xdr:rowOff>149225</xdr:rowOff>
    </xdr:from>
    <xdr:to>
      <xdr:col>5</xdr:col>
      <xdr:colOff>466725</xdr:colOff>
      <xdr:row>57</xdr:row>
      <xdr:rowOff>130175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B1D9BD-D9ED-0D23-75BA-7DD8920E5B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50800</xdr:colOff>
      <xdr:row>42</xdr:row>
      <xdr:rowOff>168275</xdr:rowOff>
    </xdr:from>
    <xdr:to>
      <xdr:col>11</xdr:col>
      <xdr:colOff>596900</xdr:colOff>
      <xdr:row>57</xdr:row>
      <xdr:rowOff>149225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725F5B-4543-971B-0972-7031ECB899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511175</xdr:colOff>
      <xdr:row>42</xdr:row>
      <xdr:rowOff>174625</xdr:rowOff>
    </xdr:from>
    <xdr:to>
      <xdr:col>19</xdr:col>
      <xdr:colOff>333375</xdr:colOff>
      <xdr:row>57</xdr:row>
      <xdr:rowOff>155575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7F18A7A-A790-C553-D976-AC62275E05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43</xdr:row>
      <xdr:rowOff>60325</xdr:rowOff>
    </xdr:from>
    <xdr:to>
      <xdr:col>7</xdr:col>
      <xdr:colOff>422275</xdr:colOff>
      <xdr:row>58</xdr:row>
      <xdr:rowOff>41275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D58DA8-D9E8-AA7E-26EC-498A841FC5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219075</xdr:colOff>
      <xdr:row>23</xdr:row>
      <xdr:rowOff>104775</xdr:rowOff>
    </xdr:from>
    <xdr:to>
      <xdr:col>16</xdr:col>
      <xdr:colOff>523875</xdr:colOff>
      <xdr:row>38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4F25B9-CD61-F313-2A8B-F267F1C850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1168400</xdr:colOff>
      <xdr:row>41</xdr:row>
      <xdr:rowOff>98425</xdr:rowOff>
    </xdr:from>
    <xdr:to>
      <xdr:col>9</xdr:col>
      <xdr:colOff>247650</xdr:colOff>
      <xdr:row>56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F168A1-68B4-C487-6AC9-FD1744CB0A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307975</xdr:colOff>
      <xdr:row>43</xdr:row>
      <xdr:rowOff>34925</xdr:rowOff>
    </xdr:from>
    <xdr:to>
      <xdr:col>17</xdr:col>
      <xdr:colOff>523875</xdr:colOff>
      <xdr:row>58</xdr:row>
      <xdr:rowOff>15875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9E8CF8-3523-F2FA-480C-293764146A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193675</xdr:colOff>
      <xdr:row>42</xdr:row>
      <xdr:rowOff>180975</xdr:rowOff>
    </xdr:from>
    <xdr:to>
      <xdr:col>6</xdr:col>
      <xdr:colOff>352425</xdr:colOff>
      <xdr:row>57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393D00-DF67-4318-14D5-EA92970537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282575</xdr:colOff>
      <xdr:row>44</xdr:row>
      <xdr:rowOff>161925</xdr:rowOff>
    </xdr:from>
    <xdr:to>
      <xdr:col>14</xdr:col>
      <xdr:colOff>22225</xdr:colOff>
      <xdr:row>59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C7757C-B0C6-D9DE-DADE-A069B7674B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320675</xdr:colOff>
      <xdr:row>43</xdr:row>
      <xdr:rowOff>142875</xdr:rowOff>
    </xdr:from>
    <xdr:to>
      <xdr:col>21</xdr:col>
      <xdr:colOff>422275</xdr:colOff>
      <xdr:row>58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7391A1-5FC6-0565-2773-95FD95ED6E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25</xdr:row>
      <xdr:rowOff>3175</xdr:rowOff>
    </xdr:from>
    <xdr:to>
      <xdr:col>12</xdr:col>
      <xdr:colOff>581025</xdr:colOff>
      <xdr:row>39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E61819-1820-051D-08D9-184C04C979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24</xdr:row>
      <xdr:rowOff>3175</xdr:rowOff>
    </xdr:from>
    <xdr:to>
      <xdr:col>12</xdr:col>
      <xdr:colOff>485775</xdr:colOff>
      <xdr:row>38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B28694-DC00-0772-95A6-EFC9A3FCF1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49BEA-02A7-43D8-A115-7C599804935B}">
  <dimension ref="A1:V43"/>
  <sheetViews>
    <sheetView workbookViewId="0">
      <selection activeCell="M1" sqref="M1:P1048576"/>
    </sheetView>
  </sheetViews>
  <sheetFormatPr defaultRowHeight="14.4" x14ac:dyDescent="0.3"/>
  <cols>
    <col min="1" max="1" width="6.21875" customWidth="1"/>
    <col min="2" max="2" width="19.21875" customWidth="1"/>
    <col min="7" max="7" width="10.77734375" bestFit="1" customWidth="1"/>
    <col min="9" max="9" width="9.77734375" bestFit="1" customWidth="1"/>
    <col min="11" max="11" width="9.77734375" bestFit="1" customWidth="1"/>
    <col min="13" max="13" width="10.77734375" bestFit="1" customWidth="1"/>
  </cols>
  <sheetData>
    <row r="1" spans="1:22" x14ac:dyDescent="0.3">
      <c r="A1" s="154" t="s">
        <v>0</v>
      </c>
      <c r="B1" s="154"/>
      <c r="C1" s="154"/>
      <c r="D1" s="154"/>
      <c r="E1" s="154"/>
      <c r="F1" s="154"/>
      <c r="G1" s="154"/>
      <c r="H1" s="154"/>
      <c r="I1" s="154"/>
    </row>
    <row r="2" spans="1:22" ht="15" thickBot="1" x14ac:dyDescent="0.35">
      <c r="A2" s="153" t="s">
        <v>563</v>
      </c>
      <c r="B2" s="154"/>
      <c r="C2" s="154"/>
      <c r="D2" s="154"/>
      <c r="E2" s="154"/>
      <c r="F2" s="154"/>
      <c r="G2" s="154"/>
      <c r="H2" s="154"/>
      <c r="I2" s="154"/>
    </row>
    <row r="3" spans="1:22" x14ac:dyDescent="0.3">
      <c r="A3" s="173" t="s">
        <v>1</v>
      </c>
      <c r="B3" s="173" t="s">
        <v>2</v>
      </c>
      <c r="C3" s="176" t="s">
        <v>119</v>
      </c>
      <c r="D3" s="177"/>
      <c r="E3" s="167" t="s">
        <v>120</v>
      </c>
      <c r="F3" s="168"/>
      <c r="G3" s="167" t="s">
        <v>120</v>
      </c>
      <c r="H3" s="168"/>
      <c r="I3" s="167" t="s">
        <v>120</v>
      </c>
      <c r="J3" s="168"/>
      <c r="K3" s="167" t="s">
        <v>123</v>
      </c>
      <c r="L3" s="168"/>
      <c r="M3" s="167" t="s">
        <v>124</v>
      </c>
      <c r="N3" s="168"/>
      <c r="O3" s="176" t="s">
        <v>125</v>
      </c>
      <c r="P3" s="177"/>
      <c r="Q3" s="196" t="s">
        <v>126</v>
      </c>
      <c r="R3" s="197"/>
      <c r="S3" s="202" t="s">
        <v>128</v>
      </c>
      <c r="T3" s="203"/>
      <c r="U3" s="188" t="s">
        <v>129</v>
      </c>
      <c r="V3" s="189"/>
    </row>
    <row r="4" spans="1:22" ht="16.05" customHeight="1" thickBot="1" x14ac:dyDescent="0.35">
      <c r="A4" s="174"/>
      <c r="B4" s="174"/>
      <c r="C4" s="178"/>
      <c r="D4" s="179"/>
      <c r="E4" s="169" t="s">
        <v>130</v>
      </c>
      <c r="F4" s="170"/>
      <c r="G4" s="169" t="s">
        <v>121</v>
      </c>
      <c r="H4" s="170"/>
      <c r="I4" s="169" t="s">
        <v>122</v>
      </c>
      <c r="J4" s="170"/>
      <c r="K4" s="194"/>
      <c r="L4" s="195"/>
      <c r="M4" s="194"/>
      <c r="N4" s="195"/>
      <c r="O4" s="178"/>
      <c r="P4" s="179"/>
      <c r="Q4" s="198" t="s">
        <v>127</v>
      </c>
      <c r="R4" s="199"/>
      <c r="S4" s="204"/>
      <c r="T4" s="205"/>
      <c r="U4" s="190"/>
      <c r="V4" s="191"/>
    </row>
    <row r="5" spans="1:22" ht="5.55" hidden="1" customHeight="1" thickBot="1" x14ac:dyDescent="0.35">
      <c r="A5" s="174"/>
      <c r="B5" s="174"/>
      <c r="C5" s="180"/>
      <c r="D5" s="181"/>
      <c r="E5" s="186"/>
      <c r="F5" s="187"/>
      <c r="G5" s="171"/>
      <c r="H5" s="172"/>
      <c r="I5" s="171"/>
      <c r="J5" s="172"/>
      <c r="K5" s="186"/>
      <c r="L5" s="187"/>
      <c r="M5" s="186"/>
      <c r="N5" s="187"/>
      <c r="O5" s="180"/>
      <c r="P5" s="181"/>
      <c r="Q5" s="200"/>
      <c r="R5" s="201"/>
      <c r="S5" s="206"/>
      <c r="T5" s="207"/>
      <c r="U5" s="192"/>
      <c r="V5" s="193"/>
    </row>
    <row r="6" spans="1:22" ht="15" thickBot="1" x14ac:dyDescent="0.35">
      <c r="A6" s="175"/>
      <c r="B6" s="175"/>
      <c r="C6" s="85" t="s">
        <v>92</v>
      </c>
      <c r="D6" s="86" t="s">
        <v>3</v>
      </c>
      <c r="E6" s="85" t="s">
        <v>92</v>
      </c>
      <c r="F6" s="86" t="s">
        <v>3</v>
      </c>
      <c r="G6" s="85" t="s">
        <v>92</v>
      </c>
      <c r="H6" s="86" t="s">
        <v>3</v>
      </c>
      <c r="I6" s="85" t="s">
        <v>92</v>
      </c>
      <c r="J6" s="86" t="s">
        <v>3</v>
      </c>
      <c r="K6" s="85" t="s">
        <v>92</v>
      </c>
      <c r="L6" s="86" t="s">
        <v>3</v>
      </c>
      <c r="M6" s="85" t="s">
        <v>92</v>
      </c>
      <c r="N6" s="86" t="s">
        <v>3</v>
      </c>
      <c r="O6" s="85" t="s">
        <v>92</v>
      </c>
      <c r="P6" s="86" t="s">
        <v>3</v>
      </c>
      <c r="Q6" s="85" t="s">
        <v>92</v>
      </c>
      <c r="R6" s="86" t="s">
        <v>3</v>
      </c>
      <c r="S6" s="85" t="s">
        <v>92</v>
      </c>
      <c r="T6" s="86" t="s">
        <v>3</v>
      </c>
      <c r="U6" s="85" t="s">
        <v>92</v>
      </c>
      <c r="V6" s="86" t="s">
        <v>3</v>
      </c>
    </row>
    <row r="7" spans="1:22" ht="15" thickTop="1" x14ac:dyDescent="0.3">
      <c r="A7" s="44">
        <v>1</v>
      </c>
      <c r="B7" s="45" t="s">
        <v>48</v>
      </c>
      <c r="C7" s="45">
        <v>571</v>
      </c>
      <c r="D7" s="45">
        <v>6.53</v>
      </c>
      <c r="E7" s="46">
        <v>33778</v>
      </c>
      <c r="F7" s="47">
        <v>42.845907960830075</v>
      </c>
      <c r="G7" s="46">
        <v>6263</v>
      </c>
      <c r="H7" s="45">
        <v>7.93</v>
      </c>
      <c r="I7" s="46">
        <v>3380</v>
      </c>
      <c r="J7" s="45">
        <v>4.29</v>
      </c>
      <c r="K7" s="46">
        <v>515</v>
      </c>
      <c r="L7" s="84">
        <v>0.51475291859907246</v>
      </c>
      <c r="M7" s="46">
        <v>4027</v>
      </c>
      <c r="N7" s="47">
        <v>5.1100000000000003</v>
      </c>
      <c r="O7" s="64">
        <v>654</v>
      </c>
      <c r="P7" s="67">
        <v>0.70005673242632815</v>
      </c>
      <c r="Q7" s="46">
        <f>'rekap indikator 01102026'!P6</f>
        <v>3237</v>
      </c>
      <c r="R7" s="45">
        <f>'rekap indikator 01102026'!Q6</f>
        <v>19.920000000000002</v>
      </c>
      <c r="S7" s="46">
        <f>'rekap indikator 01102026'!L6</f>
        <v>856</v>
      </c>
      <c r="T7" s="45">
        <f>'rekap indikator 01102026'!M6</f>
        <v>6.67</v>
      </c>
      <c r="U7" s="45">
        <f>'rekap indikator 01102026'!H6</f>
        <v>4658</v>
      </c>
      <c r="V7" s="45">
        <f>'rekap indikator 01102026'!I6</f>
        <v>16.37</v>
      </c>
    </row>
    <row r="8" spans="1:22" x14ac:dyDescent="0.3">
      <c r="A8" s="25">
        <v>2</v>
      </c>
      <c r="B8" s="14" t="s">
        <v>49</v>
      </c>
      <c r="C8" s="14">
        <v>796</v>
      </c>
      <c r="D8" s="14">
        <v>9.39</v>
      </c>
      <c r="E8" s="26">
        <v>33490</v>
      </c>
      <c r="F8" s="17">
        <v>47.424169475204621</v>
      </c>
      <c r="G8" s="26">
        <v>8131</v>
      </c>
      <c r="H8" s="14">
        <v>11.51</v>
      </c>
      <c r="I8" s="26">
        <v>3383</v>
      </c>
      <c r="J8" s="14">
        <v>4.79</v>
      </c>
      <c r="K8" s="26">
        <v>800</v>
      </c>
      <c r="L8" s="75">
        <v>0.89721303201929004</v>
      </c>
      <c r="M8" s="26">
        <v>9044</v>
      </c>
      <c r="N8" s="17">
        <v>12.81</v>
      </c>
      <c r="O8" s="64">
        <v>937</v>
      </c>
      <c r="P8" s="67">
        <v>1.201975498685139</v>
      </c>
      <c r="Q8" s="46">
        <f>'rekap indikator 01102026'!P7</f>
        <v>3115</v>
      </c>
      <c r="R8" s="45">
        <f>'rekap indikator 01102026'!Q7</f>
        <v>19.97</v>
      </c>
      <c r="S8" s="46">
        <f>'rekap indikator 01102026'!L7</f>
        <v>1307</v>
      </c>
      <c r="T8" s="45">
        <f>'rekap indikator 01102026'!M7</f>
        <v>11.55</v>
      </c>
      <c r="U8" s="45">
        <f>'rekap indikator 01102026'!H7</f>
        <v>6631</v>
      </c>
      <c r="V8" s="45">
        <f>'rekap indikator 01102026'!I7</f>
        <v>24.69</v>
      </c>
    </row>
    <row r="9" spans="1:22" x14ac:dyDescent="0.3">
      <c r="A9" s="25">
        <v>3</v>
      </c>
      <c r="B9" s="14" t="s">
        <v>44</v>
      </c>
      <c r="C9" s="14">
        <v>470</v>
      </c>
      <c r="D9" s="14">
        <v>9.15</v>
      </c>
      <c r="E9" s="26">
        <v>19741</v>
      </c>
      <c r="F9" s="17">
        <v>45.705223189479533</v>
      </c>
      <c r="G9" s="26">
        <v>4556</v>
      </c>
      <c r="H9" s="14">
        <v>10.55</v>
      </c>
      <c r="I9" s="26">
        <v>1805</v>
      </c>
      <c r="J9" s="14">
        <v>4.18</v>
      </c>
      <c r="K9" s="26">
        <v>309</v>
      </c>
      <c r="L9" s="75">
        <v>0.55974204767770452</v>
      </c>
      <c r="M9" s="26">
        <v>6023</v>
      </c>
      <c r="N9" s="17">
        <v>13.94</v>
      </c>
      <c r="O9" s="64">
        <v>822</v>
      </c>
      <c r="P9" s="67">
        <v>1.774879623431866</v>
      </c>
      <c r="Q9" s="46">
        <f>'rekap indikator 01102026'!P8</f>
        <v>2467</v>
      </c>
      <c r="R9" s="45">
        <f>'rekap indikator 01102026'!Q8</f>
        <v>23.14</v>
      </c>
      <c r="S9" s="46">
        <f>'rekap indikator 01102026'!L8</f>
        <v>1776</v>
      </c>
      <c r="T9" s="45">
        <f>'rekap indikator 01102026'!M8</f>
        <v>19.47</v>
      </c>
      <c r="U9" s="45">
        <f>'rekap indikator 01102026'!H8</f>
        <v>3684</v>
      </c>
      <c r="V9" s="45">
        <f>'rekap indikator 01102026'!I8</f>
        <v>25.67</v>
      </c>
    </row>
    <row r="10" spans="1:22" x14ac:dyDescent="0.3">
      <c r="A10" s="25">
        <v>4</v>
      </c>
      <c r="B10" s="14" t="s">
        <v>50</v>
      </c>
      <c r="C10" s="14">
        <v>319</v>
      </c>
      <c r="D10" s="14">
        <v>8.07</v>
      </c>
      <c r="E10" s="26">
        <v>19588</v>
      </c>
      <c r="F10" s="17">
        <v>46.400568518299181</v>
      </c>
      <c r="G10" s="26">
        <v>4281</v>
      </c>
      <c r="H10" s="14">
        <v>10.14</v>
      </c>
      <c r="I10" s="26">
        <v>1368</v>
      </c>
      <c r="J10" s="14">
        <v>3.24</v>
      </c>
      <c r="K10" s="26">
        <v>330</v>
      </c>
      <c r="L10" s="75">
        <v>0.64037879375921758</v>
      </c>
      <c r="M10" s="26">
        <v>6785</v>
      </c>
      <c r="N10" s="17">
        <v>16.07</v>
      </c>
      <c r="O10" s="64">
        <v>836</v>
      </c>
      <c r="P10" s="67">
        <v>1.993181222134802</v>
      </c>
      <c r="Q10" s="46">
        <f>'rekap indikator 01102026'!P9</f>
        <v>2162</v>
      </c>
      <c r="R10" s="45">
        <f>'rekap indikator 01102026'!Q9</f>
        <v>23.35</v>
      </c>
      <c r="S10" s="46">
        <f>'rekap indikator 01102026'!L9</f>
        <v>955</v>
      </c>
      <c r="T10" s="45">
        <f>'rekap indikator 01102026'!M9</f>
        <v>11.89</v>
      </c>
      <c r="U10" s="45">
        <f>'rekap indikator 01102026'!H9</f>
        <v>4372</v>
      </c>
      <c r="V10" s="45">
        <f>'rekap indikator 01102026'!I9</f>
        <v>33.22</v>
      </c>
    </row>
    <row r="11" spans="1:22" x14ac:dyDescent="0.3">
      <c r="A11" s="25">
        <v>5</v>
      </c>
      <c r="B11" s="14" t="s">
        <v>51</v>
      </c>
      <c r="C11" s="14">
        <v>244</v>
      </c>
      <c r="D11" s="14">
        <v>7.63</v>
      </c>
      <c r="E11" s="26">
        <v>25304</v>
      </c>
      <c r="F11" s="17">
        <v>46.934876560384325</v>
      </c>
      <c r="G11" s="26">
        <v>6098</v>
      </c>
      <c r="H11" s="14">
        <v>11.31</v>
      </c>
      <c r="I11" s="26">
        <v>2487</v>
      </c>
      <c r="J11" s="14">
        <v>4.6100000000000003</v>
      </c>
      <c r="K11" s="26">
        <v>72</v>
      </c>
      <c r="L11" s="75">
        <v>0.10550068868505115</v>
      </c>
      <c r="M11" s="26">
        <v>4208</v>
      </c>
      <c r="N11" s="17">
        <v>7.81</v>
      </c>
      <c r="O11" s="64">
        <v>487</v>
      </c>
      <c r="P11" s="67">
        <v>0.77253763543203413</v>
      </c>
      <c r="Q11" s="46">
        <f>'rekap indikator 01102026'!P10</f>
        <v>2938</v>
      </c>
      <c r="R11" s="45">
        <f>'rekap indikator 01102026'!Q10</f>
        <v>22.44</v>
      </c>
      <c r="S11" s="46">
        <f>'rekap indikator 01102026'!L10</f>
        <v>2020</v>
      </c>
      <c r="T11" s="45">
        <f>'rekap indikator 01102026'!M10</f>
        <v>26.38</v>
      </c>
      <c r="U11" s="45">
        <f>'rekap indikator 01102026'!H10</f>
        <v>3107</v>
      </c>
      <c r="V11" s="45">
        <f>'rekap indikator 01102026'!I10</f>
        <v>16.059999999999999</v>
      </c>
    </row>
    <row r="12" spans="1:22" x14ac:dyDescent="0.3">
      <c r="A12" s="25">
        <v>6</v>
      </c>
      <c r="B12" s="14" t="s">
        <v>52</v>
      </c>
      <c r="C12" s="14">
        <v>103</v>
      </c>
      <c r="D12" s="14">
        <v>6.41</v>
      </c>
      <c r="E12" s="26">
        <v>12688</v>
      </c>
      <c r="F12" s="17">
        <v>46.353938331141315</v>
      </c>
      <c r="G12" s="26">
        <v>3395</v>
      </c>
      <c r="H12" s="14">
        <v>12.4</v>
      </c>
      <c r="I12" s="26">
        <v>1227</v>
      </c>
      <c r="J12" s="14">
        <v>4.4800000000000004</v>
      </c>
      <c r="K12" s="26">
        <v>102</v>
      </c>
      <c r="L12" s="75">
        <v>0.29430434531709848</v>
      </c>
      <c r="M12" s="26">
        <v>4518</v>
      </c>
      <c r="N12" s="17">
        <v>16.510000000000002</v>
      </c>
      <c r="O12" s="64">
        <v>545</v>
      </c>
      <c r="P12" s="67">
        <v>1.852355380327646</v>
      </c>
      <c r="Q12" s="46">
        <f>'rekap indikator 01102026'!P11</f>
        <v>1144</v>
      </c>
      <c r="R12" s="45">
        <f>'rekap indikator 01102026'!Q11</f>
        <v>24.02</v>
      </c>
      <c r="S12" s="46">
        <f>'rekap indikator 01102026'!L11</f>
        <v>564</v>
      </c>
      <c r="T12" s="45">
        <f>'rekap indikator 01102026'!M11</f>
        <v>16.329999999999998</v>
      </c>
      <c r="U12" s="45">
        <f>'rekap indikator 01102026'!H11</f>
        <v>1586</v>
      </c>
      <c r="V12" s="45">
        <f>'rekap indikator 01102026'!I11</f>
        <v>14.51</v>
      </c>
    </row>
    <row r="13" spans="1:22" x14ac:dyDescent="0.3">
      <c r="A13" s="25">
        <v>7</v>
      </c>
      <c r="B13" s="14" t="s">
        <v>53</v>
      </c>
      <c r="C13" s="14">
        <v>115</v>
      </c>
      <c r="D13" s="14">
        <v>6.8</v>
      </c>
      <c r="E13" s="26">
        <v>17124</v>
      </c>
      <c r="F13" s="17">
        <v>48.281501113711336</v>
      </c>
      <c r="G13" s="26">
        <v>3357</v>
      </c>
      <c r="H13" s="14">
        <v>9.4700000000000006</v>
      </c>
      <c r="I13" s="26">
        <v>743</v>
      </c>
      <c r="J13" s="14">
        <v>2.09</v>
      </c>
      <c r="K13" s="26">
        <v>105</v>
      </c>
      <c r="L13" s="75">
        <v>0.23151720944590218</v>
      </c>
      <c r="M13" s="26">
        <v>6356</v>
      </c>
      <c r="N13" s="17">
        <v>17.920000000000002</v>
      </c>
      <c r="O13" s="64">
        <v>617</v>
      </c>
      <c r="P13" s="67">
        <v>1.665092430171367</v>
      </c>
      <c r="Q13" s="46">
        <f>'rekap indikator 01102026'!P12</f>
        <v>819</v>
      </c>
      <c r="R13" s="45">
        <f>'rekap indikator 01102026'!Q12</f>
        <v>22.7</v>
      </c>
      <c r="S13" s="46">
        <f>'rekap indikator 01102026'!L12</f>
        <v>209</v>
      </c>
      <c r="T13" s="45">
        <f>'rekap indikator 01102026'!M12</f>
        <v>10.84</v>
      </c>
      <c r="U13" s="45">
        <f>'rekap indikator 01102026'!H12</f>
        <v>1782</v>
      </c>
      <c r="V13" s="45">
        <f>'rekap indikator 01102026'!I12</f>
        <v>11.56</v>
      </c>
    </row>
    <row r="14" spans="1:22" x14ac:dyDescent="0.3">
      <c r="A14" s="25">
        <v>8</v>
      </c>
      <c r="B14" s="14" t="s">
        <v>54</v>
      </c>
      <c r="C14" s="14">
        <v>108</v>
      </c>
      <c r="D14" s="14">
        <v>7.15</v>
      </c>
      <c r="E14" s="26">
        <v>23936</v>
      </c>
      <c r="F14" s="17">
        <v>47.685074507928924</v>
      </c>
      <c r="G14" s="26">
        <v>5631</v>
      </c>
      <c r="H14" s="14">
        <v>11.22</v>
      </c>
      <c r="I14" s="26">
        <v>2330</v>
      </c>
      <c r="J14" s="14">
        <v>4.6399999999999997</v>
      </c>
      <c r="K14" s="26">
        <v>194</v>
      </c>
      <c r="L14" s="75">
        <v>0.30950367735039325</v>
      </c>
      <c r="M14" s="26">
        <v>7900</v>
      </c>
      <c r="N14" s="17">
        <v>15.74</v>
      </c>
      <c r="O14" s="64">
        <v>1065</v>
      </c>
      <c r="P14" s="67">
        <v>2.0223310926284608</v>
      </c>
      <c r="Q14" s="46">
        <f>'rekap indikator 01102026'!P13</f>
        <v>1595</v>
      </c>
      <c r="R14" s="45">
        <f>'rekap indikator 01102026'!Q13</f>
        <v>22.93</v>
      </c>
      <c r="S14" s="46">
        <f>'rekap indikator 01102026'!L13</f>
        <v>448</v>
      </c>
      <c r="T14" s="45">
        <f>'rekap indikator 01102026'!M13</f>
        <v>8.89</v>
      </c>
      <c r="U14" s="45">
        <f>'rekap indikator 01102026'!H13</f>
        <v>5830</v>
      </c>
      <c r="V14" s="45">
        <f>'rekap indikator 01102026'!I13</f>
        <v>39.64</v>
      </c>
    </row>
    <row r="15" spans="1:22" x14ac:dyDescent="0.3">
      <c r="A15" s="25">
        <v>9</v>
      </c>
      <c r="B15" s="14" t="s">
        <v>55</v>
      </c>
      <c r="C15" s="14">
        <v>136</v>
      </c>
      <c r="D15" s="14">
        <v>4.8600000000000003</v>
      </c>
      <c r="E15" s="26">
        <v>18116</v>
      </c>
      <c r="F15" s="17">
        <v>42.246163891609534</v>
      </c>
      <c r="G15" s="26">
        <v>3769</v>
      </c>
      <c r="H15" s="14">
        <v>8.7899999999999991</v>
      </c>
      <c r="I15" s="26">
        <v>1774</v>
      </c>
      <c r="J15" s="14">
        <v>4.1500000000000004</v>
      </c>
      <c r="K15" s="26">
        <v>39</v>
      </c>
      <c r="L15" s="75">
        <v>7.249340124168184E-2</v>
      </c>
      <c r="M15" s="26">
        <v>5209</v>
      </c>
      <c r="N15" s="17">
        <v>12.15</v>
      </c>
      <c r="O15" s="64">
        <v>1132</v>
      </c>
      <c r="P15" s="67">
        <v>2.3207659347643359</v>
      </c>
      <c r="Q15" s="46">
        <f>'rekap indikator 01102026'!P14</f>
        <v>1669</v>
      </c>
      <c r="R15" s="45">
        <f>'rekap indikator 01102026'!Q14</f>
        <v>19.77</v>
      </c>
      <c r="S15" s="46">
        <f>'rekap indikator 01102026'!L14</f>
        <v>515</v>
      </c>
      <c r="T15" s="45">
        <f>'rekap indikator 01102026'!M14</f>
        <v>10.01</v>
      </c>
      <c r="U15" s="45">
        <f>'rekap indikator 01102026'!H14</f>
        <v>2227</v>
      </c>
      <c r="V15" s="45">
        <f>'rekap indikator 01102026'!I14</f>
        <v>14.01</v>
      </c>
    </row>
    <row r="16" spans="1:22" x14ac:dyDescent="0.3">
      <c r="A16" s="25">
        <v>10</v>
      </c>
      <c r="B16" s="14" t="s">
        <v>56</v>
      </c>
      <c r="C16" s="14">
        <v>398</v>
      </c>
      <c r="D16" s="14">
        <v>8.02</v>
      </c>
      <c r="E16" s="26">
        <v>22164</v>
      </c>
      <c r="F16" s="17">
        <v>46.814802298073673</v>
      </c>
      <c r="G16" s="26">
        <v>5834</v>
      </c>
      <c r="H16" s="14">
        <v>12.32</v>
      </c>
      <c r="I16" s="26">
        <v>2440</v>
      </c>
      <c r="J16" s="14">
        <v>5.15</v>
      </c>
      <c r="K16" s="26">
        <v>421</v>
      </c>
      <c r="L16" s="75">
        <v>0.71827069080238171</v>
      </c>
      <c r="M16" s="26">
        <v>6203</v>
      </c>
      <c r="N16" s="17">
        <v>13.1</v>
      </c>
      <c r="O16" s="64">
        <v>810</v>
      </c>
      <c r="P16" s="67">
        <v>1.5953675254077051</v>
      </c>
      <c r="Q16" s="46">
        <f>'rekap indikator 01102026'!P15</f>
        <v>1452</v>
      </c>
      <c r="R16" s="45">
        <f>'rekap indikator 01102026'!Q15</f>
        <v>17.86</v>
      </c>
      <c r="S16" s="46">
        <f>'rekap indikator 01102026'!L15</f>
        <v>581</v>
      </c>
      <c r="T16" s="45">
        <f>'rekap indikator 01102026'!M15</f>
        <v>9.66</v>
      </c>
      <c r="U16" s="45">
        <f>'rekap indikator 01102026'!H15</f>
        <v>4274</v>
      </c>
      <c r="V16" s="45">
        <f>'rekap indikator 01102026'!I15</f>
        <v>21.07</v>
      </c>
    </row>
    <row r="17" spans="1:22" x14ac:dyDescent="0.3">
      <c r="A17" s="25">
        <v>11</v>
      </c>
      <c r="B17" s="14" t="s">
        <v>57</v>
      </c>
      <c r="C17" s="14">
        <v>267</v>
      </c>
      <c r="D17" s="14">
        <v>6.04</v>
      </c>
      <c r="E17" s="26">
        <v>13843</v>
      </c>
      <c r="F17" s="17">
        <v>38.675159947475763</v>
      </c>
      <c r="G17" s="26">
        <v>3396</v>
      </c>
      <c r="H17" s="14">
        <v>9.49</v>
      </c>
      <c r="I17" s="26">
        <v>1391</v>
      </c>
      <c r="J17" s="14">
        <v>3.89</v>
      </c>
      <c r="K17" s="26">
        <v>361</v>
      </c>
      <c r="L17" s="75">
        <v>0.80513861319892044</v>
      </c>
      <c r="M17" s="26">
        <v>2792</v>
      </c>
      <c r="N17" s="17">
        <v>7.8</v>
      </c>
      <c r="O17" s="64">
        <v>344</v>
      </c>
      <c r="P17" s="67">
        <v>0.83349486334560963</v>
      </c>
      <c r="Q17" s="46">
        <f>'rekap indikator 01102026'!P16</f>
        <v>686</v>
      </c>
      <c r="R17" s="45">
        <f>'rekap indikator 01102026'!Q16</f>
        <v>16.64</v>
      </c>
      <c r="S17" s="46">
        <f>'rekap indikator 01102026'!L16</f>
        <v>307</v>
      </c>
      <c r="T17" s="45">
        <f>'rekap indikator 01102026'!M16</f>
        <v>11.1</v>
      </c>
      <c r="U17" s="45">
        <f>'rekap indikator 01102026'!H16</f>
        <v>3508</v>
      </c>
      <c r="V17" s="45">
        <f>'rekap indikator 01102026'!I16</f>
        <v>29.37</v>
      </c>
    </row>
    <row r="18" spans="1:22" x14ac:dyDescent="0.3">
      <c r="A18" s="25">
        <v>12</v>
      </c>
      <c r="B18" s="14" t="s">
        <v>58</v>
      </c>
      <c r="C18" s="14">
        <v>146</v>
      </c>
      <c r="D18" s="14">
        <v>7.9</v>
      </c>
      <c r="E18" s="26">
        <v>15369</v>
      </c>
      <c r="F18" s="17">
        <v>48.805970149253731</v>
      </c>
      <c r="G18" s="26">
        <v>3032</v>
      </c>
      <c r="H18" s="14">
        <v>9.6199999999999992</v>
      </c>
      <c r="I18" s="26">
        <v>1237</v>
      </c>
      <c r="J18" s="14">
        <v>3.93</v>
      </c>
      <c r="K18" s="26">
        <v>178</v>
      </c>
      <c r="L18" s="75">
        <v>0.43998418034407755</v>
      </c>
      <c r="M18" s="26">
        <v>3051</v>
      </c>
      <c r="N18" s="17">
        <v>9.69</v>
      </c>
      <c r="O18" s="64">
        <v>313</v>
      </c>
      <c r="P18" s="67">
        <v>0.86003187338572296</v>
      </c>
      <c r="Q18" s="46">
        <f>'rekap indikator 01102026'!P17</f>
        <v>1305</v>
      </c>
      <c r="R18" s="45">
        <f>'rekap indikator 01102026'!Q17</f>
        <v>19.829999999999998</v>
      </c>
      <c r="S18" s="46">
        <f>'rekap indikator 01102026'!L17</f>
        <v>500</v>
      </c>
      <c r="T18" s="45">
        <f>'rekap indikator 01102026'!M17</f>
        <v>12.67</v>
      </c>
      <c r="U18" s="45">
        <f>'rekap indikator 01102026'!H17</f>
        <v>1241</v>
      </c>
      <c r="V18" s="45">
        <f>'rekap indikator 01102026'!I17</f>
        <v>10.02</v>
      </c>
    </row>
    <row r="19" spans="1:22" x14ac:dyDescent="0.3">
      <c r="A19" s="25">
        <v>13</v>
      </c>
      <c r="B19" s="14" t="s">
        <v>59</v>
      </c>
      <c r="C19" s="14">
        <v>51</v>
      </c>
      <c r="D19" s="14">
        <v>6.49</v>
      </c>
      <c r="E19" s="26">
        <v>16719</v>
      </c>
      <c r="F19" s="17">
        <v>44.252402001005798</v>
      </c>
      <c r="G19" s="26">
        <v>3011</v>
      </c>
      <c r="H19" s="14">
        <v>7.96</v>
      </c>
      <c r="I19" s="26">
        <v>1199</v>
      </c>
      <c r="J19" s="14">
        <v>3.17</v>
      </c>
      <c r="K19" s="26">
        <v>17</v>
      </c>
      <c r="L19" s="75">
        <v>3.6808487604200496E-2</v>
      </c>
      <c r="M19" s="26">
        <v>1997</v>
      </c>
      <c r="N19" s="17">
        <v>5.29</v>
      </c>
      <c r="O19" s="64">
        <v>235</v>
      </c>
      <c r="P19" s="67">
        <v>0.53931243402028739</v>
      </c>
      <c r="Q19" s="46">
        <f>'rekap indikator 01102026'!P18</f>
        <v>276</v>
      </c>
      <c r="R19" s="45">
        <f>'rekap indikator 01102026'!Q18</f>
        <v>17.95</v>
      </c>
      <c r="S19" s="46">
        <f>'rekap indikator 01102026'!L18</f>
        <v>34</v>
      </c>
      <c r="T19" s="45">
        <f>'rekap indikator 01102026'!M18</f>
        <v>5.77</v>
      </c>
      <c r="U19" s="45">
        <f>'rekap indikator 01102026'!H18</f>
        <v>1586</v>
      </c>
      <c r="V19" s="45">
        <f>'rekap indikator 01102026'!I18</f>
        <v>13.52</v>
      </c>
    </row>
    <row r="20" spans="1:22" x14ac:dyDescent="0.3">
      <c r="A20" s="25">
        <v>14</v>
      </c>
      <c r="B20" s="14" t="s">
        <v>60</v>
      </c>
      <c r="C20" s="14">
        <v>57</v>
      </c>
      <c r="D20" s="14">
        <v>5.04</v>
      </c>
      <c r="E20" s="26">
        <v>15077</v>
      </c>
      <c r="F20" s="17">
        <v>43.920414821719881</v>
      </c>
      <c r="G20" s="26">
        <v>3566</v>
      </c>
      <c r="H20" s="14">
        <v>10.39</v>
      </c>
      <c r="I20" s="26">
        <v>1792</v>
      </c>
      <c r="J20" s="14">
        <v>5.23</v>
      </c>
      <c r="K20" s="26">
        <v>28</v>
      </c>
      <c r="L20" s="75">
        <v>7.2073927256814843E-2</v>
      </c>
      <c r="M20" s="26">
        <v>3900</v>
      </c>
      <c r="N20" s="17">
        <v>11.36</v>
      </c>
      <c r="O20" s="64">
        <v>543</v>
      </c>
      <c r="P20" s="67">
        <v>1.355094706895261</v>
      </c>
      <c r="Q20" s="46">
        <f>'rekap indikator 01102026'!P19</f>
        <v>699</v>
      </c>
      <c r="R20" s="45">
        <f>'rekap indikator 01102026'!Q19</f>
        <v>18.97</v>
      </c>
      <c r="S20" s="46">
        <f>'rekap indikator 01102026'!L19</f>
        <v>110</v>
      </c>
      <c r="T20" s="45">
        <f>'rekap indikator 01102026'!M19</f>
        <v>8.17</v>
      </c>
      <c r="U20" s="45">
        <f>'rekap indikator 01102026'!H19</f>
        <v>1748</v>
      </c>
      <c r="V20" s="45">
        <f>'rekap indikator 01102026'!I19</f>
        <v>8.19</v>
      </c>
    </row>
    <row r="21" spans="1:22" x14ac:dyDescent="0.3">
      <c r="A21" s="25">
        <v>15</v>
      </c>
      <c r="B21" s="14" t="s">
        <v>61</v>
      </c>
      <c r="C21" s="14">
        <v>47</v>
      </c>
      <c r="D21" s="14">
        <v>5.82</v>
      </c>
      <c r="E21" s="26">
        <v>24520</v>
      </c>
      <c r="F21" s="17">
        <v>43.667966732560416</v>
      </c>
      <c r="G21" s="26">
        <v>5972</v>
      </c>
      <c r="H21" s="14">
        <v>10.63</v>
      </c>
      <c r="I21" s="26">
        <v>3332</v>
      </c>
      <c r="J21" s="14">
        <v>5.93</v>
      </c>
      <c r="K21" s="26">
        <v>355</v>
      </c>
      <c r="L21" s="75">
        <v>0.49942320137306212</v>
      </c>
      <c r="M21" s="26">
        <v>5142</v>
      </c>
      <c r="N21" s="17">
        <v>9.16</v>
      </c>
      <c r="O21" s="64">
        <v>1021</v>
      </c>
      <c r="P21" s="67">
        <v>1.5711317996460723</v>
      </c>
      <c r="Q21" s="46">
        <f>'rekap indikator 01102026'!P20</f>
        <v>2074</v>
      </c>
      <c r="R21" s="45">
        <f>'rekap indikator 01102026'!Q20</f>
        <v>20.37</v>
      </c>
      <c r="S21" s="46">
        <f>'rekap indikator 01102026'!L20</f>
        <v>609</v>
      </c>
      <c r="T21" s="45">
        <f>'rekap indikator 01102026'!M20</f>
        <v>9.5299999999999994</v>
      </c>
      <c r="U21" s="45">
        <f>'rekap indikator 01102026'!H20</f>
        <v>2622</v>
      </c>
      <c r="V21" s="45">
        <f>'rekap indikator 01102026'!I20</f>
        <v>9.51</v>
      </c>
    </row>
    <row r="22" spans="1:22" x14ac:dyDescent="0.3">
      <c r="A22" s="25">
        <v>16</v>
      </c>
      <c r="B22" s="14" t="s">
        <v>62</v>
      </c>
      <c r="C22" s="14">
        <v>275</v>
      </c>
      <c r="D22" s="14">
        <v>6.66</v>
      </c>
      <c r="E22" s="26">
        <v>15692</v>
      </c>
      <c r="F22" s="17">
        <v>45.794665265861198</v>
      </c>
      <c r="G22" s="26">
        <v>4564</v>
      </c>
      <c r="H22" s="14">
        <v>13.33</v>
      </c>
      <c r="I22" s="26">
        <v>2374</v>
      </c>
      <c r="J22" s="14">
        <v>6.93</v>
      </c>
      <c r="K22" s="26">
        <v>90</v>
      </c>
      <c r="L22" s="75">
        <v>0.20549821901543519</v>
      </c>
      <c r="M22" s="26">
        <v>2292</v>
      </c>
      <c r="N22" s="17">
        <v>6.69</v>
      </c>
      <c r="O22" s="64">
        <v>272</v>
      </c>
      <c r="P22" s="67">
        <v>0.66464666210536605</v>
      </c>
      <c r="Q22" s="46">
        <f>'rekap indikator 01102026'!P21</f>
        <v>1626</v>
      </c>
      <c r="R22" s="45">
        <f>'rekap indikator 01102026'!Q21</f>
        <v>18.3</v>
      </c>
      <c r="S22" s="46">
        <f>'rekap indikator 01102026'!L21</f>
        <v>780</v>
      </c>
      <c r="T22" s="45">
        <f>'rekap indikator 01102026'!M21</f>
        <v>9.5</v>
      </c>
      <c r="U22" s="45">
        <f>'rekap indikator 01102026'!H21</f>
        <v>1673</v>
      </c>
      <c r="V22" s="45">
        <f>'rekap indikator 01102026'!I21</f>
        <v>13.47</v>
      </c>
    </row>
    <row r="23" spans="1:22" x14ac:dyDescent="0.3">
      <c r="A23" s="25">
        <v>17</v>
      </c>
      <c r="B23" s="14" t="s">
        <v>63</v>
      </c>
      <c r="C23" s="14">
        <v>208</v>
      </c>
      <c r="D23" s="14">
        <v>5.89</v>
      </c>
      <c r="E23" s="26">
        <v>11672</v>
      </c>
      <c r="F23" s="17">
        <v>44.015385775699521</v>
      </c>
      <c r="G23" s="26">
        <v>3592</v>
      </c>
      <c r="H23" s="14">
        <v>13.53</v>
      </c>
      <c r="I23" s="26">
        <v>1650</v>
      </c>
      <c r="J23" s="14">
        <v>6.22</v>
      </c>
      <c r="K23" s="26">
        <v>781</v>
      </c>
      <c r="L23" s="75">
        <v>2.3396542943590668</v>
      </c>
      <c r="M23" s="26">
        <v>3550</v>
      </c>
      <c r="N23" s="17">
        <v>13.39</v>
      </c>
      <c r="O23" s="64">
        <v>522</v>
      </c>
      <c r="P23" s="67">
        <v>2.0919328337274075</v>
      </c>
      <c r="Q23" s="46">
        <f>'rekap indikator 01102026'!P22</f>
        <v>1477</v>
      </c>
      <c r="R23" s="45">
        <f>'rekap indikator 01102026'!Q22</f>
        <v>20.170000000000002</v>
      </c>
      <c r="S23" s="46">
        <f>'rekap indikator 01102026'!L22</f>
        <v>690</v>
      </c>
      <c r="T23" s="45">
        <f>'rekap indikator 01102026'!M22</f>
        <v>9.9</v>
      </c>
      <c r="U23" s="45">
        <f>'rekap indikator 01102026'!H22</f>
        <v>1106</v>
      </c>
      <c r="V23" s="45">
        <f>'rekap indikator 01102026'!I22</f>
        <v>10.99</v>
      </c>
    </row>
    <row r="24" spans="1:22" x14ac:dyDescent="0.3">
      <c r="A24" s="25">
        <v>18</v>
      </c>
      <c r="B24" s="14" t="s">
        <v>64</v>
      </c>
      <c r="C24" s="14">
        <v>170</v>
      </c>
      <c r="D24" s="14">
        <v>5.32</v>
      </c>
      <c r="E24" s="26">
        <v>21753</v>
      </c>
      <c r="F24" s="17">
        <v>43.182991225632271</v>
      </c>
      <c r="G24" s="26">
        <v>5012</v>
      </c>
      <c r="H24" s="14">
        <v>9.94</v>
      </c>
      <c r="I24" s="26">
        <v>2590</v>
      </c>
      <c r="J24" s="14">
        <v>5.14</v>
      </c>
      <c r="K24" s="26">
        <v>577</v>
      </c>
      <c r="L24" s="75">
        <v>0.91173403280346355</v>
      </c>
      <c r="M24" s="26">
        <v>4032</v>
      </c>
      <c r="N24" s="17">
        <v>8</v>
      </c>
      <c r="O24" s="64">
        <v>676</v>
      </c>
      <c r="P24" s="67">
        <v>1.1714147085326123</v>
      </c>
      <c r="Q24" s="46">
        <f>'rekap indikator 01102026'!P23</f>
        <v>1796</v>
      </c>
      <c r="R24" s="45">
        <f>'rekap indikator 01102026'!Q23</f>
        <v>15.87</v>
      </c>
      <c r="S24" s="46">
        <f>'rekap indikator 01102026'!L23</f>
        <v>1136</v>
      </c>
      <c r="T24" s="45">
        <f>'rekap indikator 01102026'!M23</f>
        <v>15.09</v>
      </c>
      <c r="U24" s="45">
        <f>'rekap indikator 01102026'!H23</f>
        <v>1280</v>
      </c>
      <c r="V24" s="45">
        <f>'rekap indikator 01102026'!I23</f>
        <v>7.52</v>
      </c>
    </row>
    <row r="25" spans="1:22" x14ac:dyDescent="0.3">
      <c r="A25" s="25">
        <v>19</v>
      </c>
      <c r="B25" s="14" t="s">
        <v>65</v>
      </c>
      <c r="C25" s="14">
        <v>187</v>
      </c>
      <c r="D25" s="14">
        <v>4.0999999999999996</v>
      </c>
      <c r="E25" s="26">
        <v>11503</v>
      </c>
      <c r="F25" s="17">
        <v>28.937636789011595</v>
      </c>
      <c r="G25" s="26">
        <v>1666</v>
      </c>
      <c r="H25" s="14">
        <v>4.1900000000000004</v>
      </c>
      <c r="I25" s="26">
        <v>1292</v>
      </c>
      <c r="J25" s="14">
        <v>3.26</v>
      </c>
      <c r="K25" s="26">
        <v>423</v>
      </c>
      <c r="L25" s="75">
        <v>0.83903600119012189</v>
      </c>
      <c r="M25" s="26">
        <v>1450</v>
      </c>
      <c r="N25" s="17">
        <v>3.65</v>
      </c>
      <c r="O25" s="64">
        <v>248</v>
      </c>
      <c r="P25" s="67">
        <v>0.49974811083123422</v>
      </c>
      <c r="Q25" s="46">
        <f>'rekap indikator 01102026'!P24</f>
        <v>1736</v>
      </c>
      <c r="R25" s="45">
        <f>'rekap indikator 01102026'!Q24</f>
        <v>21.17</v>
      </c>
      <c r="S25" s="46">
        <f>'rekap indikator 01102026'!L24</f>
        <v>306</v>
      </c>
      <c r="T25" s="45">
        <f>'rekap indikator 01102026'!M24</f>
        <v>6.29</v>
      </c>
      <c r="U25" s="45">
        <f>'rekap indikator 01102026'!H24</f>
        <v>2293</v>
      </c>
      <c r="V25" s="45">
        <f>'rekap indikator 01102026'!I24</f>
        <v>12.76</v>
      </c>
    </row>
    <row r="26" spans="1:22" x14ac:dyDescent="0.3">
      <c r="A26" s="25">
        <v>20</v>
      </c>
      <c r="B26" s="14" t="s">
        <v>66</v>
      </c>
      <c r="C26" s="14">
        <v>196</v>
      </c>
      <c r="D26" s="14">
        <v>5.01</v>
      </c>
      <c r="E26" s="26">
        <v>21103</v>
      </c>
      <c r="F26" s="17">
        <v>38.516855573199003</v>
      </c>
      <c r="G26" s="26">
        <v>4133</v>
      </c>
      <c r="H26" s="14">
        <v>7.54</v>
      </c>
      <c r="I26" s="26">
        <v>2655</v>
      </c>
      <c r="J26" s="14">
        <v>4.84</v>
      </c>
      <c r="K26" s="26">
        <v>990</v>
      </c>
      <c r="L26" s="75">
        <v>1.4318566407775415</v>
      </c>
      <c r="M26" s="26">
        <v>2885</v>
      </c>
      <c r="N26" s="17">
        <v>5.27</v>
      </c>
      <c r="O26" s="64">
        <v>610</v>
      </c>
      <c r="P26" s="67">
        <v>0.93701996927803377</v>
      </c>
      <c r="Q26" s="46">
        <f>'rekap indikator 01102026'!P25</f>
        <v>2151</v>
      </c>
      <c r="R26" s="45">
        <f>'rekap indikator 01102026'!Q25</f>
        <v>21.26</v>
      </c>
      <c r="S26" s="46">
        <f>'rekap indikator 01102026'!L25</f>
        <v>508</v>
      </c>
      <c r="T26" s="45">
        <f>'rekap indikator 01102026'!M25</f>
        <v>9.23</v>
      </c>
      <c r="U26" s="45">
        <f>'rekap indikator 01102026'!H25</f>
        <v>2947</v>
      </c>
      <c r="V26" s="45">
        <f>'rekap indikator 01102026'!I25</f>
        <v>16.86</v>
      </c>
    </row>
    <row r="27" spans="1:22" x14ac:dyDescent="0.3">
      <c r="A27" s="25">
        <v>21</v>
      </c>
      <c r="B27" s="14" t="s">
        <v>67</v>
      </c>
      <c r="C27" s="14">
        <v>176</v>
      </c>
      <c r="D27" s="14">
        <v>3.97</v>
      </c>
      <c r="E27" s="26">
        <v>23515</v>
      </c>
      <c r="F27" s="17">
        <v>36.799687010954621</v>
      </c>
      <c r="G27" s="26">
        <v>2500</v>
      </c>
      <c r="H27" s="14">
        <v>3.91</v>
      </c>
      <c r="I27" s="26">
        <v>1792</v>
      </c>
      <c r="J27" s="14">
        <v>2.81</v>
      </c>
      <c r="K27" s="26">
        <v>105</v>
      </c>
      <c r="L27" s="75">
        <v>0.12855673637298595</v>
      </c>
      <c r="M27" s="26">
        <v>1333</v>
      </c>
      <c r="N27" s="17">
        <v>2.09</v>
      </c>
      <c r="O27" s="64">
        <v>353</v>
      </c>
      <c r="P27" s="67">
        <v>0.43913119199860673</v>
      </c>
      <c r="Q27" s="46">
        <f>'rekap indikator 01102026'!P26</f>
        <v>2167</v>
      </c>
      <c r="R27" s="45">
        <f>'rekap indikator 01102026'!Q26</f>
        <v>17.170000000000002</v>
      </c>
      <c r="S27" s="46">
        <f>'rekap indikator 01102026'!L26</f>
        <v>484</v>
      </c>
      <c r="T27" s="45">
        <f>'rekap indikator 01102026'!M26</f>
        <v>5.17</v>
      </c>
      <c r="U27" s="45">
        <f>'rekap indikator 01102026'!H26</f>
        <v>1999</v>
      </c>
      <c r="V27" s="45">
        <f>'rekap indikator 01102026'!I26</f>
        <v>9.14</v>
      </c>
    </row>
    <row r="28" spans="1:22" x14ac:dyDescent="0.3">
      <c r="A28" s="25">
        <v>22</v>
      </c>
      <c r="B28" s="14" t="s">
        <v>68</v>
      </c>
      <c r="C28" s="14">
        <v>108</v>
      </c>
      <c r="D28" s="14">
        <v>5.23</v>
      </c>
      <c r="E28" s="26">
        <v>21933</v>
      </c>
      <c r="F28" s="17">
        <v>44.475311771266348</v>
      </c>
      <c r="G28" s="26">
        <v>2666</v>
      </c>
      <c r="H28" s="14">
        <v>5.4</v>
      </c>
      <c r="I28" s="26">
        <v>1311</v>
      </c>
      <c r="J28" s="14">
        <v>2.66</v>
      </c>
      <c r="K28" s="26">
        <v>43</v>
      </c>
      <c r="L28" s="75">
        <v>7.1608186647571154E-2</v>
      </c>
      <c r="M28" s="26">
        <v>1428</v>
      </c>
      <c r="N28" s="17">
        <v>2.9</v>
      </c>
      <c r="O28" s="64">
        <v>178</v>
      </c>
      <c r="P28" s="67">
        <v>0.30753813991257622</v>
      </c>
      <c r="Q28" s="46">
        <f>'rekap indikator 01102026'!P27</f>
        <v>1718</v>
      </c>
      <c r="R28" s="45">
        <f>'rekap indikator 01102026'!Q27</f>
        <v>20.38</v>
      </c>
      <c r="S28" s="46">
        <f>'rekap indikator 01102026'!L27</f>
        <v>638</v>
      </c>
      <c r="T28" s="45">
        <f>'rekap indikator 01102026'!M27</f>
        <v>8.4</v>
      </c>
      <c r="U28" s="45">
        <f>'rekap indikator 01102026'!H27</f>
        <v>2899</v>
      </c>
      <c r="V28" s="45">
        <f>'rekap indikator 01102026'!I27</f>
        <v>23.24</v>
      </c>
    </row>
    <row r="29" spans="1:22" x14ac:dyDescent="0.3">
      <c r="A29" s="25">
        <v>23</v>
      </c>
      <c r="B29" s="14" t="s">
        <v>69</v>
      </c>
      <c r="C29" s="14">
        <v>148</v>
      </c>
      <c r="D29" s="14">
        <v>6.9</v>
      </c>
      <c r="E29" s="26">
        <v>11954</v>
      </c>
      <c r="F29" s="17">
        <v>45.758689327821159</v>
      </c>
      <c r="G29" s="26">
        <v>2570</v>
      </c>
      <c r="H29" s="14">
        <v>9.84</v>
      </c>
      <c r="I29" s="26">
        <v>895</v>
      </c>
      <c r="J29" s="14">
        <v>3.43</v>
      </c>
      <c r="K29" s="26">
        <v>53</v>
      </c>
      <c r="L29" s="75">
        <v>0.15390423091442343</v>
      </c>
      <c r="M29" s="26">
        <v>3683</v>
      </c>
      <c r="N29" s="17">
        <v>14.1</v>
      </c>
      <c r="O29" s="64">
        <v>544</v>
      </c>
      <c r="P29" s="67">
        <v>1.538896746817539</v>
      </c>
      <c r="Q29" s="46">
        <f>'rekap indikator 01102026'!P28</f>
        <v>1087</v>
      </c>
      <c r="R29" s="45">
        <f>'rekap indikator 01102026'!Q28</f>
        <v>21.88</v>
      </c>
      <c r="S29" s="46">
        <f>'rekap indikator 01102026'!L28</f>
        <v>398</v>
      </c>
      <c r="T29" s="45">
        <f>'rekap indikator 01102026'!M28</f>
        <v>12.61</v>
      </c>
      <c r="U29" s="45">
        <f>'rekap indikator 01102026'!H28</f>
        <v>1292</v>
      </c>
      <c r="V29" s="45">
        <f>'rekap indikator 01102026'!I28</f>
        <v>11.5</v>
      </c>
    </row>
    <row r="30" spans="1:22" x14ac:dyDescent="0.3">
      <c r="A30" s="25">
        <v>24</v>
      </c>
      <c r="B30" s="14" t="s">
        <v>70</v>
      </c>
      <c r="C30" s="14">
        <v>355</v>
      </c>
      <c r="D30" s="14">
        <v>6.49</v>
      </c>
      <c r="E30" s="26">
        <v>20074</v>
      </c>
      <c r="F30" s="17">
        <v>45.047349759885101</v>
      </c>
      <c r="G30" s="26">
        <v>4936</v>
      </c>
      <c r="H30" s="14">
        <v>11.09</v>
      </c>
      <c r="I30" s="26">
        <v>2750</v>
      </c>
      <c r="J30" s="14">
        <v>6.17</v>
      </c>
      <c r="K30" s="26">
        <v>547</v>
      </c>
      <c r="L30" s="75">
        <v>0.95879125694554002</v>
      </c>
      <c r="M30" s="26">
        <v>5288</v>
      </c>
      <c r="N30" s="17">
        <v>11.87</v>
      </c>
      <c r="O30" s="64">
        <v>776</v>
      </c>
      <c r="P30" s="67">
        <v>1.5587024204077533</v>
      </c>
      <c r="Q30" s="46">
        <f>'rekap indikator 01102026'!P29</f>
        <v>1919</v>
      </c>
      <c r="R30" s="45">
        <f>'rekap indikator 01102026'!Q29</f>
        <v>18.59</v>
      </c>
      <c r="S30" s="46">
        <f>'rekap indikator 01102026'!L29</f>
        <v>1234</v>
      </c>
      <c r="T30" s="45">
        <f>'rekap indikator 01102026'!M29</f>
        <v>15.13</v>
      </c>
      <c r="U30" s="45">
        <f>'rekap indikator 01102026'!H29</f>
        <v>4496</v>
      </c>
      <c r="V30" s="45">
        <f>'rekap indikator 01102026'!I29</f>
        <v>21.3</v>
      </c>
    </row>
    <row r="31" spans="1:22" x14ac:dyDescent="0.3">
      <c r="A31" s="25">
        <v>25</v>
      </c>
      <c r="B31" s="14" t="s">
        <v>71</v>
      </c>
      <c r="C31" s="14">
        <v>341</v>
      </c>
      <c r="D31" s="14">
        <v>6.63</v>
      </c>
      <c r="E31" s="26">
        <v>15743</v>
      </c>
      <c r="F31" s="17">
        <v>43.320216834979774</v>
      </c>
      <c r="G31" s="26">
        <v>3681</v>
      </c>
      <c r="H31" s="14">
        <v>10.14</v>
      </c>
      <c r="I31" s="26">
        <v>1675</v>
      </c>
      <c r="J31" s="14">
        <v>4.6100000000000003</v>
      </c>
      <c r="K31" s="26">
        <v>356</v>
      </c>
      <c r="L31" s="75">
        <v>0.77652961064456327</v>
      </c>
      <c r="M31" s="26">
        <v>3533</v>
      </c>
      <c r="N31" s="17">
        <v>9.7200000000000006</v>
      </c>
      <c r="O31" s="64">
        <v>417</v>
      </c>
      <c r="P31" s="67">
        <v>1.0047466448208564</v>
      </c>
      <c r="Q31" s="46">
        <f>'rekap indikator 01102026'!P30</f>
        <v>1833</v>
      </c>
      <c r="R31" s="45">
        <f>'rekap indikator 01102026'!Q30</f>
        <v>20.23</v>
      </c>
      <c r="S31" s="46">
        <f>'rekap indikator 01102026'!L30</f>
        <v>508</v>
      </c>
      <c r="T31" s="45">
        <f>'rekap indikator 01102026'!M30</f>
        <v>6.45</v>
      </c>
      <c r="U31" s="45">
        <f>'rekap indikator 01102026'!H30</f>
        <v>610</v>
      </c>
      <c r="V31" s="45">
        <f>'rekap indikator 01102026'!I30</f>
        <v>5.77</v>
      </c>
    </row>
    <row r="32" spans="1:22" x14ac:dyDescent="0.3">
      <c r="A32" s="25">
        <v>26</v>
      </c>
      <c r="B32" s="14" t="s">
        <v>72</v>
      </c>
      <c r="C32" s="14">
        <v>206</v>
      </c>
      <c r="D32" s="14">
        <v>5.62</v>
      </c>
      <c r="E32" s="26">
        <v>16435</v>
      </c>
      <c r="F32" s="17">
        <v>38.907696314007715</v>
      </c>
      <c r="G32" s="26">
        <v>4460</v>
      </c>
      <c r="H32" s="14">
        <v>10.55</v>
      </c>
      <c r="I32" s="26">
        <v>2545</v>
      </c>
      <c r="J32" s="14">
        <v>6.02</v>
      </c>
      <c r="K32" s="26">
        <v>252</v>
      </c>
      <c r="L32" s="75">
        <v>0.48198301583658482</v>
      </c>
      <c r="M32" s="26">
        <v>3267</v>
      </c>
      <c r="N32" s="17">
        <v>7.73</v>
      </c>
      <c r="O32" s="64">
        <v>835</v>
      </c>
      <c r="P32" s="67">
        <v>1.8115155985594655</v>
      </c>
      <c r="Q32" s="46">
        <f>'rekap indikator 01102026'!P31</f>
        <v>2130</v>
      </c>
      <c r="R32" s="45">
        <f>'rekap indikator 01102026'!Q31</f>
        <v>19.93</v>
      </c>
      <c r="S32" s="46">
        <f>'rekap indikator 01102026'!L31</f>
        <v>594</v>
      </c>
      <c r="T32" s="45">
        <f>'rekap indikator 01102026'!M31</f>
        <v>7.02</v>
      </c>
      <c r="U32" s="45">
        <f>'rekap indikator 01102026'!H31</f>
        <v>2528</v>
      </c>
      <c r="V32" s="45">
        <f>'rekap indikator 01102026'!I31</f>
        <v>18.079999999999998</v>
      </c>
    </row>
    <row r="33" spans="1:22" x14ac:dyDescent="0.3">
      <c r="A33" s="25">
        <v>27</v>
      </c>
      <c r="B33" s="14" t="s">
        <v>73</v>
      </c>
      <c r="C33" s="14">
        <v>178</v>
      </c>
      <c r="D33" s="14">
        <v>3.65</v>
      </c>
      <c r="E33" s="26">
        <v>28418</v>
      </c>
      <c r="F33" s="17">
        <v>45.19114560142485</v>
      </c>
      <c r="G33" s="26">
        <v>5501</v>
      </c>
      <c r="H33" s="14">
        <v>8.74</v>
      </c>
      <c r="I33" s="26">
        <v>3618</v>
      </c>
      <c r="J33" s="14">
        <v>5.75</v>
      </c>
      <c r="K33" s="26">
        <v>978</v>
      </c>
      <c r="L33" s="75">
        <v>1.2314588632299983</v>
      </c>
      <c r="M33" s="26">
        <v>6028</v>
      </c>
      <c r="N33" s="17">
        <v>9.59</v>
      </c>
      <c r="O33" s="64">
        <v>1693</v>
      </c>
      <c r="P33" s="67">
        <v>2.3421504067290133</v>
      </c>
      <c r="Q33" s="46">
        <f>'rekap indikator 01102026'!P32</f>
        <v>1948</v>
      </c>
      <c r="R33" s="45">
        <f>'rekap indikator 01102026'!Q32</f>
        <v>21.49</v>
      </c>
      <c r="S33" s="46">
        <f>'rekap indikator 01102026'!L32</f>
        <v>556</v>
      </c>
      <c r="T33" s="45">
        <f>'rekap indikator 01102026'!M32</f>
        <v>7.93</v>
      </c>
      <c r="U33" s="45">
        <f>'rekap indikator 01102026'!H32</f>
        <v>1952</v>
      </c>
      <c r="V33" s="45">
        <f>'rekap indikator 01102026'!I32</f>
        <v>8.24</v>
      </c>
    </row>
    <row r="34" spans="1:22" x14ac:dyDescent="0.3">
      <c r="A34" s="25">
        <v>28</v>
      </c>
      <c r="B34" s="14" t="s">
        <v>74</v>
      </c>
      <c r="C34" s="14">
        <v>334</v>
      </c>
      <c r="D34" s="14">
        <v>6.06</v>
      </c>
      <c r="E34" s="26">
        <v>29802</v>
      </c>
      <c r="F34" s="17">
        <v>43.8026368005644</v>
      </c>
      <c r="G34" s="26">
        <v>8705</v>
      </c>
      <c r="H34" s="14">
        <v>12.78</v>
      </c>
      <c r="I34" s="26">
        <v>4494</v>
      </c>
      <c r="J34" s="14">
        <v>6.6</v>
      </c>
      <c r="K34" s="26">
        <v>1506</v>
      </c>
      <c r="L34" s="75">
        <v>1.739030023094688</v>
      </c>
      <c r="M34" s="26">
        <v>10044</v>
      </c>
      <c r="N34" s="17">
        <v>14.76</v>
      </c>
      <c r="O34" s="64">
        <v>1460</v>
      </c>
      <c r="P34" s="67">
        <v>2.0303721421816765</v>
      </c>
      <c r="Q34" s="46">
        <f>'rekap indikator 01102026'!P33</f>
        <v>2521</v>
      </c>
      <c r="R34" s="45">
        <f>'rekap indikator 01102026'!Q33</f>
        <v>19.600000000000001</v>
      </c>
      <c r="S34" s="46">
        <f>'rekap indikator 01102026'!L33</f>
        <v>1531</v>
      </c>
      <c r="T34" s="45">
        <f>'rekap indikator 01102026'!M33</f>
        <v>15.01</v>
      </c>
      <c r="U34" s="45">
        <f>'rekap indikator 01102026'!H33</f>
        <v>3904</v>
      </c>
      <c r="V34" s="45">
        <f>'rekap indikator 01102026'!I33</f>
        <v>17.75</v>
      </c>
    </row>
    <row r="35" spans="1:22" x14ac:dyDescent="0.3">
      <c r="A35" s="25">
        <v>29</v>
      </c>
      <c r="B35" s="14" t="s">
        <v>75</v>
      </c>
      <c r="C35" s="14">
        <v>220</v>
      </c>
      <c r="D35" s="14">
        <v>5.54</v>
      </c>
      <c r="E35" s="26">
        <v>32236</v>
      </c>
      <c r="F35" s="17">
        <v>43.511594633264046</v>
      </c>
      <c r="G35" s="26">
        <v>8538</v>
      </c>
      <c r="H35" s="14">
        <v>11.54</v>
      </c>
      <c r="I35" s="26">
        <v>4649</v>
      </c>
      <c r="J35" s="14">
        <v>6.28</v>
      </c>
      <c r="K35" s="26">
        <v>750</v>
      </c>
      <c r="L35" s="75">
        <v>0.82455638866289938</v>
      </c>
      <c r="M35" s="26">
        <v>8891</v>
      </c>
      <c r="N35" s="17">
        <v>12</v>
      </c>
      <c r="O35" s="64">
        <v>1609</v>
      </c>
      <c r="P35" s="67">
        <v>1.934335966146115</v>
      </c>
      <c r="Q35" s="46">
        <f>'rekap indikator 01102026'!P34</f>
        <v>2502</v>
      </c>
      <c r="R35" s="45">
        <f>'rekap indikator 01102026'!Q34</f>
        <v>21.24</v>
      </c>
      <c r="S35" s="46">
        <f>'rekap indikator 01102026'!L34</f>
        <v>983</v>
      </c>
      <c r="T35" s="45">
        <f>'rekap indikator 01102026'!M34</f>
        <v>12.66</v>
      </c>
      <c r="U35" s="45">
        <f>'rekap indikator 01102026'!H34</f>
        <v>3531</v>
      </c>
      <c r="V35" s="45">
        <f>'rekap indikator 01102026'!I34</f>
        <v>7.67</v>
      </c>
    </row>
    <row r="36" spans="1:22" x14ac:dyDescent="0.3">
      <c r="A36" s="25">
        <v>30</v>
      </c>
      <c r="B36" s="14" t="s">
        <v>4</v>
      </c>
      <c r="C36" s="14">
        <v>23</v>
      </c>
      <c r="D36" s="14">
        <v>6.23</v>
      </c>
      <c r="E36" s="26">
        <v>1500</v>
      </c>
      <c r="F36" s="17">
        <v>46.918986549890526</v>
      </c>
      <c r="G36" s="26">
        <v>286</v>
      </c>
      <c r="H36" s="14">
        <v>8.9499999999999993</v>
      </c>
      <c r="I36" s="26">
        <v>117</v>
      </c>
      <c r="J36" s="14">
        <v>3.66</v>
      </c>
      <c r="K36" s="26">
        <v>8</v>
      </c>
      <c r="L36" s="75">
        <v>0.1953125</v>
      </c>
      <c r="M36" s="26">
        <v>349</v>
      </c>
      <c r="N36" s="17">
        <v>10.92</v>
      </c>
      <c r="O36" s="64">
        <v>53</v>
      </c>
      <c r="P36" s="67">
        <v>1.4787946428571428</v>
      </c>
      <c r="Q36" s="46">
        <f>'rekap indikator 01102026'!P35</f>
        <v>162</v>
      </c>
      <c r="R36" s="45">
        <f>'rekap indikator 01102026'!Q35</f>
        <v>17.739999999999998</v>
      </c>
      <c r="S36" s="46">
        <f>'rekap indikator 01102026'!L35</f>
        <v>93</v>
      </c>
      <c r="T36" s="45">
        <f>'rekap indikator 01102026'!M35</f>
        <v>10.84</v>
      </c>
      <c r="U36" s="45">
        <f>'rekap indikator 01102026'!H35</f>
        <v>625</v>
      </c>
      <c r="V36" s="45">
        <f>'rekap indikator 01102026'!I35</f>
        <v>11.23</v>
      </c>
    </row>
    <row r="37" spans="1:22" x14ac:dyDescent="0.3">
      <c r="A37" s="25">
        <v>31</v>
      </c>
      <c r="B37" s="14" t="s">
        <v>5</v>
      </c>
      <c r="C37" s="14">
        <v>68</v>
      </c>
      <c r="D37" s="14">
        <v>5.77</v>
      </c>
      <c r="E37" s="26">
        <v>6928</v>
      </c>
      <c r="F37" s="17">
        <v>42.430181283684469</v>
      </c>
      <c r="G37" s="26">
        <v>1559</v>
      </c>
      <c r="H37" s="14">
        <v>9.5299999999999994</v>
      </c>
      <c r="I37" s="26">
        <v>607</v>
      </c>
      <c r="J37" s="14">
        <v>3.71</v>
      </c>
      <c r="K37" s="26">
        <v>0</v>
      </c>
      <c r="L37" s="75">
        <v>0</v>
      </c>
      <c r="M37" s="26">
        <v>1231</v>
      </c>
      <c r="N37" s="17">
        <v>7.54</v>
      </c>
      <c r="O37" s="64">
        <v>192</v>
      </c>
      <c r="P37" s="67">
        <v>1.090165796048149</v>
      </c>
      <c r="Q37" s="46">
        <f>'rekap indikator 01102026'!P36</f>
        <v>96</v>
      </c>
      <c r="R37" s="45">
        <f>'rekap indikator 01102026'!Q36</f>
        <v>9.8000000000000007</v>
      </c>
      <c r="S37" s="46">
        <f>'rekap indikator 01102026'!L36</f>
        <v>108</v>
      </c>
      <c r="T37" s="45">
        <f>'rekap indikator 01102026'!M36</f>
        <v>21.73</v>
      </c>
      <c r="U37" s="45">
        <f>'rekap indikator 01102026'!H36</f>
        <v>864</v>
      </c>
      <c r="V37" s="45">
        <f>'rekap indikator 01102026'!I36</f>
        <v>13.74</v>
      </c>
    </row>
    <row r="38" spans="1:22" x14ac:dyDescent="0.3">
      <c r="A38" s="25">
        <v>32</v>
      </c>
      <c r="B38" s="14" t="s">
        <v>6</v>
      </c>
      <c r="C38" s="14">
        <v>56</v>
      </c>
      <c r="D38" s="14">
        <v>7.12</v>
      </c>
      <c r="E38" s="26">
        <v>2481</v>
      </c>
      <c r="F38" s="17">
        <v>44.718817591925017</v>
      </c>
      <c r="G38" s="26">
        <v>375</v>
      </c>
      <c r="H38" s="14">
        <v>6.76</v>
      </c>
      <c r="I38" s="26">
        <v>134</v>
      </c>
      <c r="J38" s="14">
        <v>2.42</v>
      </c>
      <c r="K38" s="26">
        <v>7</v>
      </c>
      <c r="L38" s="75">
        <v>9.9828864803194528E-2</v>
      </c>
      <c r="M38" s="26">
        <v>365</v>
      </c>
      <c r="N38" s="17">
        <v>6.58</v>
      </c>
      <c r="O38" s="64">
        <v>34</v>
      </c>
      <c r="P38" s="67">
        <v>0.45655968846515377</v>
      </c>
      <c r="Q38" s="46">
        <f>'rekap indikator 01102026'!P37</f>
        <v>244</v>
      </c>
      <c r="R38" s="45">
        <f>'rekap indikator 01102026'!Q37</f>
        <v>20.61</v>
      </c>
      <c r="S38" s="46">
        <f>'rekap indikator 01102026'!L37</f>
        <v>70</v>
      </c>
      <c r="T38" s="45">
        <f>'rekap indikator 01102026'!M37</f>
        <v>8.41</v>
      </c>
      <c r="U38" s="45">
        <f>'rekap indikator 01102026'!H37</f>
        <v>569</v>
      </c>
      <c r="V38" s="45">
        <f>'rekap indikator 01102026'!I37</f>
        <v>11.94</v>
      </c>
    </row>
    <row r="39" spans="1:22" x14ac:dyDescent="0.3">
      <c r="A39" s="25">
        <v>33</v>
      </c>
      <c r="B39" s="14" t="s">
        <v>7</v>
      </c>
      <c r="C39" s="14">
        <v>123</v>
      </c>
      <c r="D39" s="14">
        <v>2.04</v>
      </c>
      <c r="E39" s="26">
        <v>12748</v>
      </c>
      <c r="F39" s="17">
        <v>22.987593768032312</v>
      </c>
      <c r="G39" s="26">
        <v>2884</v>
      </c>
      <c r="H39" s="14">
        <v>5.2</v>
      </c>
      <c r="I39" s="26">
        <v>1425</v>
      </c>
      <c r="J39" s="14">
        <v>2.57</v>
      </c>
      <c r="K39" s="26">
        <v>607</v>
      </c>
      <c r="L39" s="75">
        <v>0.90771784480567064</v>
      </c>
      <c r="M39" s="26">
        <v>2636</v>
      </c>
      <c r="N39" s="17">
        <v>4.75</v>
      </c>
      <c r="O39" s="65">
        <v>274</v>
      </c>
      <c r="P39" s="67">
        <v>0.42627337502722551</v>
      </c>
      <c r="Q39" s="46">
        <f>'rekap indikator 01102026'!P38</f>
        <v>1199</v>
      </c>
      <c r="R39" s="45">
        <f>'rekap indikator 01102026'!Q38</f>
        <v>13.18</v>
      </c>
      <c r="S39" s="46">
        <f>'rekap indikator 01102026'!L38</f>
        <v>188</v>
      </c>
      <c r="T39" s="45">
        <f>'rekap indikator 01102026'!M38</f>
        <v>2.95</v>
      </c>
      <c r="U39" s="45">
        <f>'rekap indikator 01102026'!H38</f>
        <v>2210</v>
      </c>
      <c r="V39" s="45">
        <f>'rekap indikator 01102026'!I38</f>
        <v>7.27</v>
      </c>
    </row>
    <row r="40" spans="1:22" x14ac:dyDescent="0.3">
      <c r="A40" s="25">
        <v>34</v>
      </c>
      <c r="B40" s="14" t="s">
        <v>8</v>
      </c>
      <c r="C40" s="14">
        <v>158</v>
      </c>
      <c r="D40" s="14">
        <v>8.0500000000000007</v>
      </c>
      <c r="E40" s="26">
        <v>6112</v>
      </c>
      <c r="F40" s="17">
        <v>46.645806303899874</v>
      </c>
      <c r="G40" s="26">
        <v>1767</v>
      </c>
      <c r="H40" s="14">
        <v>13.45</v>
      </c>
      <c r="I40" s="26">
        <v>946</v>
      </c>
      <c r="J40" s="14">
        <v>7.22</v>
      </c>
      <c r="K40" s="26">
        <v>118</v>
      </c>
      <c r="L40" s="75">
        <v>0.70171265461465271</v>
      </c>
      <c r="M40" s="26">
        <v>1029</v>
      </c>
      <c r="N40" s="17">
        <v>7.85</v>
      </c>
      <c r="O40" s="64">
        <v>245</v>
      </c>
      <c r="P40" s="67">
        <v>1.7054155645273561</v>
      </c>
      <c r="Q40" s="46">
        <f>'rekap indikator 01102026'!P39</f>
        <v>714</v>
      </c>
      <c r="R40" s="45">
        <f>'rekap indikator 01102026'!Q39</f>
        <v>19.170000000000002</v>
      </c>
      <c r="S40" s="46">
        <f>'rekap indikator 01102026'!L39</f>
        <v>564</v>
      </c>
      <c r="T40" s="45">
        <f>'rekap indikator 01102026'!M39</f>
        <v>16.829999999999998</v>
      </c>
      <c r="U40" s="45">
        <f>'rekap indikator 01102026'!H39</f>
        <v>1167</v>
      </c>
      <c r="V40" s="45">
        <f>'rekap indikator 01102026'!I39</f>
        <v>22.18</v>
      </c>
    </row>
    <row r="41" spans="1:22" x14ac:dyDescent="0.3">
      <c r="A41" s="25">
        <v>35</v>
      </c>
      <c r="B41" s="14" t="s">
        <v>9</v>
      </c>
      <c r="C41" s="14">
        <v>16</v>
      </c>
      <c r="D41" s="14">
        <v>6.15</v>
      </c>
      <c r="E41" s="26">
        <v>3570</v>
      </c>
      <c r="F41" s="17">
        <v>46.62400417918245</v>
      </c>
      <c r="G41" s="26">
        <v>1188</v>
      </c>
      <c r="H41" s="14">
        <v>15.51</v>
      </c>
      <c r="I41" s="26">
        <v>582</v>
      </c>
      <c r="J41" s="14">
        <v>7.6</v>
      </c>
      <c r="K41" s="26">
        <v>60</v>
      </c>
      <c r="L41" s="75">
        <v>0.66115702479338845</v>
      </c>
      <c r="M41" s="26">
        <v>715</v>
      </c>
      <c r="N41" s="17">
        <v>9.34</v>
      </c>
      <c r="O41" s="64">
        <v>51</v>
      </c>
      <c r="P41" s="67">
        <v>0.56818181818181823</v>
      </c>
      <c r="Q41" s="46">
        <f>'rekap indikator 01102026'!P40</f>
        <v>480</v>
      </c>
      <c r="R41" s="45">
        <f>'rekap indikator 01102026'!Q40</f>
        <v>21.82</v>
      </c>
      <c r="S41" s="46">
        <f>'rekap indikator 01102026'!L40</f>
        <v>352</v>
      </c>
      <c r="T41" s="45">
        <f>'rekap indikator 01102026'!M40</f>
        <v>21.99</v>
      </c>
      <c r="U41" s="45">
        <f>'rekap indikator 01102026'!H40</f>
        <v>1401</v>
      </c>
      <c r="V41" s="45">
        <f>'rekap indikator 01102026'!I40</f>
        <v>26.07</v>
      </c>
    </row>
    <row r="42" spans="1:22" s="54" customFormat="1" ht="15" thickBot="1" x14ac:dyDescent="0.35">
      <c r="A42" s="15"/>
      <c r="B42" s="15" t="s">
        <v>47</v>
      </c>
      <c r="C42" s="72">
        <v>7374</v>
      </c>
      <c r="D42" s="72">
        <v>6.24</v>
      </c>
      <c r="E42" s="73">
        <v>626629</v>
      </c>
      <c r="F42" s="74">
        <v>42.859468351053827</v>
      </c>
      <c r="G42" s="73">
        <v>140875</v>
      </c>
      <c r="H42" s="72">
        <v>9.6300000000000008</v>
      </c>
      <c r="I42" s="73">
        <v>67989</v>
      </c>
      <c r="J42" s="72">
        <v>4.6500000000000004</v>
      </c>
      <c r="K42" s="73">
        <v>12077</v>
      </c>
      <c r="L42" s="76">
        <v>0.65920150213011008</v>
      </c>
      <c r="M42" s="73">
        <v>141184</v>
      </c>
      <c r="N42" s="74">
        <v>9.66</v>
      </c>
      <c r="O42" s="66">
        <v>21403</v>
      </c>
      <c r="P42" s="77">
        <v>1.2888730445297416</v>
      </c>
      <c r="Q42" s="78">
        <f>'rekap indikator 01102026'!P41</f>
        <v>55144</v>
      </c>
      <c r="R42" s="79">
        <f>'rekap indikator 01102026'!Q41</f>
        <v>19.940000000000001</v>
      </c>
      <c r="S42" s="78">
        <f>'rekap indikator 01102026'!L41</f>
        <v>22512</v>
      </c>
      <c r="T42" s="79">
        <f>'rekap indikator 01102026'!M41</f>
        <v>11.16</v>
      </c>
      <c r="U42" s="79">
        <f>'rekap indikator 01102026'!H41</f>
        <v>88202</v>
      </c>
      <c r="V42" s="79">
        <f>'rekap indikator 01102026'!I41</f>
        <v>15.21</v>
      </c>
    </row>
    <row r="43" spans="1:22" s="68" customFormat="1" ht="15" customHeight="1" thickBot="1" x14ac:dyDescent="0.35">
      <c r="A43" s="165" t="s">
        <v>91</v>
      </c>
      <c r="B43" s="166"/>
      <c r="C43" s="182" t="s">
        <v>168</v>
      </c>
      <c r="D43" s="183"/>
      <c r="E43" s="182" t="s">
        <v>172</v>
      </c>
      <c r="F43" s="183"/>
      <c r="G43" s="182" t="s">
        <v>170</v>
      </c>
      <c r="H43" s="183"/>
      <c r="I43" s="184" t="s">
        <v>171</v>
      </c>
      <c r="J43" s="185"/>
      <c r="K43" s="184" t="s">
        <v>1823</v>
      </c>
      <c r="L43" s="185"/>
      <c r="M43" s="182" t="s">
        <v>169</v>
      </c>
      <c r="N43" s="183"/>
      <c r="O43" s="163">
        <v>2.2999999999999998</v>
      </c>
      <c r="P43" s="164"/>
      <c r="Q43" s="165" t="s">
        <v>175</v>
      </c>
      <c r="R43" s="166"/>
      <c r="S43" s="165" t="s">
        <v>173</v>
      </c>
      <c r="T43" s="166"/>
      <c r="U43" s="165" t="s">
        <v>174</v>
      </c>
      <c r="V43" s="166"/>
    </row>
  </sheetData>
  <mergeCells count="37">
    <mergeCell ref="E5:F5"/>
    <mergeCell ref="U3:V5"/>
    <mergeCell ref="K3:L3"/>
    <mergeCell ref="K4:L4"/>
    <mergeCell ref="K5:L5"/>
    <mergeCell ref="M3:N3"/>
    <mergeCell ref="M4:N4"/>
    <mergeCell ref="M5:N5"/>
    <mergeCell ref="O3:P5"/>
    <mergeCell ref="Q3:R3"/>
    <mergeCell ref="Q4:R4"/>
    <mergeCell ref="Q5:R5"/>
    <mergeCell ref="S3:T5"/>
    <mergeCell ref="U43:V43"/>
    <mergeCell ref="A43:B43"/>
    <mergeCell ref="C43:D43"/>
    <mergeCell ref="E43:F43"/>
    <mergeCell ref="G43:H43"/>
    <mergeCell ref="M43:N43"/>
    <mergeCell ref="I43:J43"/>
    <mergeCell ref="K43:L43"/>
    <mergeCell ref="A1:I1"/>
    <mergeCell ref="A2:I2"/>
    <mergeCell ref="O43:P43"/>
    <mergeCell ref="Q43:R43"/>
    <mergeCell ref="S43:T43"/>
    <mergeCell ref="G3:H3"/>
    <mergeCell ref="G4:H4"/>
    <mergeCell ref="G5:H5"/>
    <mergeCell ref="I3:J3"/>
    <mergeCell ref="I4:J4"/>
    <mergeCell ref="I5:J5"/>
    <mergeCell ref="A3:A6"/>
    <mergeCell ref="B3:B6"/>
    <mergeCell ref="C3:D5"/>
    <mergeCell ref="E3:F3"/>
    <mergeCell ref="E4:F4"/>
  </mergeCells>
  <conditionalFormatting sqref="D7:D42">
    <cfRule type="cellIs" dxfId="124" priority="15" operator="lessThan">
      <formula>5.5</formula>
    </cfRule>
    <cfRule type="cellIs" dxfId="123" priority="16" operator="greaterThan">
      <formula>5.5</formula>
    </cfRule>
  </conditionalFormatting>
  <conditionalFormatting sqref="F7:F42">
    <cfRule type="cellIs" dxfId="122" priority="5" operator="lessThan">
      <formula>40</formula>
    </cfRule>
    <cfRule type="cellIs" dxfId="121" priority="6" operator="greaterThan">
      <formula>40</formula>
    </cfRule>
  </conditionalFormatting>
  <conditionalFormatting sqref="H7:H42">
    <cfRule type="cellIs" dxfId="120" priority="13" operator="lessThan">
      <formula>14</formula>
    </cfRule>
    <cfRule type="cellIs" dxfId="119" priority="14" operator="greaterThan">
      <formula>14</formula>
    </cfRule>
  </conditionalFormatting>
  <conditionalFormatting sqref="J7:J42">
    <cfRule type="cellIs" dxfId="118" priority="9" operator="lessThan">
      <formula>7.5</formula>
    </cfRule>
    <cfRule type="cellIs" dxfId="117" priority="10" operator="greaterThan">
      <formula>7.5</formula>
    </cfRule>
    <cfRule type="cellIs" dxfId="116" priority="11" operator="greaterThan">
      <formula>7.5</formula>
    </cfRule>
    <cfRule type="cellIs" dxfId="115" priority="12" operator="greaterThan">
      <formula>7.5</formula>
    </cfRule>
  </conditionalFormatting>
  <conditionalFormatting sqref="L7:L42">
    <cfRule type="cellIs" dxfId="114" priority="7" operator="lessThan">
      <formula>0.5</formula>
    </cfRule>
    <cfRule type="cellIs" dxfId="113" priority="8" operator="greaterThan">
      <formula>0.5</formula>
    </cfRule>
  </conditionalFormatting>
  <conditionalFormatting sqref="N7:N42">
    <cfRule type="cellIs" dxfId="112" priority="3" operator="greaterThan">
      <formula>14</formula>
    </cfRule>
    <cfRule type="cellIs" dxfId="111" priority="4" operator="lessThan">
      <formula>14</formula>
    </cfRule>
  </conditionalFormatting>
  <conditionalFormatting sqref="P7:P42">
    <cfRule type="cellIs" dxfId="110" priority="1" operator="lessThan">
      <formula>2.3</formula>
    </cfRule>
    <cfRule type="cellIs" dxfId="109" priority="2" operator="greaterThan">
      <formula>2.3</formula>
    </cfRule>
  </conditionalFormatting>
  <conditionalFormatting sqref="R7:R42">
    <cfRule type="cellIs" dxfId="108" priority="22" operator="lessThan">
      <formula>13</formula>
    </cfRule>
    <cfRule type="cellIs" dxfId="107" priority="23" operator="greaterThan">
      <formula>13</formula>
    </cfRule>
  </conditionalFormatting>
  <conditionalFormatting sqref="T7:T42">
    <cfRule type="cellIs" dxfId="106" priority="20" operator="lessThan">
      <formula>23</formula>
    </cfRule>
    <cfRule type="cellIs" dxfId="105" priority="21" operator="greaterThan">
      <formula>23</formula>
    </cfRule>
  </conditionalFormatting>
  <conditionalFormatting sqref="V7:V42">
    <cfRule type="cellIs" dxfId="104" priority="17" operator="greaterThan">
      <formula>25</formula>
    </cfRule>
    <cfRule type="cellIs" dxfId="103" priority="18" operator="greaterThan">
      <formula>25</formula>
    </cfRule>
    <cfRule type="cellIs" dxfId="102" priority="19" operator="lessThan">
      <formula>25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2"/>
  <sheetViews>
    <sheetView zoomScale="82" zoomScaleNormal="82" workbookViewId="0">
      <selection activeCell="W6" sqref="W6"/>
    </sheetView>
  </sheetViews>
  <sheetFormatPr defaultRowHeight="14.4" x14ac:dyDescent="0.3"/>
  <cols>
    <col min="1" max="1" width="5.21875" customWidth="1"/>
    <col min="2" max="2" width="19.21875" customWidth="1"/>
    <col min="3" max="4" width="10.77734375" hidden="1" customWidth="1"/>
    <col min="5" max="5" width="9" customWidth="1"/>
    <col min="6" max="6" width="10.21875" hidden="1" customWidth="1"/>
    <col min="7" max="7" width="8" customWidth="1"/>
    <col min="8" max="8" width="8.33203125" hidden="1" customWidth="1"/>
    <col min="9" max="9" width="7.77734375" hidden="1" customWidth="1"/>
    <col min="10" max="10" width="9.77734375" hidden="1" customWidth="1"/>
    <col min="11" max="11" width="8.5546875" customWidth="1"/>
    <col min="12" max="12" width="10" hidden="1" customWidth="1"/>
    <col min="13" max="13" width="7.44140625" hidden="1" customWidth="1"/>
    <col min="14" max="14" width="13.33203125" hidden="1" customWidth="1"/>
    <col min="15" max="15" width="9.77734375" customWidth="1"/>
    <col min="16" max="16" width="11.109375" hidden="1" customWidth="1"/>
    <col min="17" max="17" width="6.77734375" hidden="1" customWidth="1"/>
    <col min="18" max="18" width="13.33203125" hidden="1" customWidth="1"/>
    <col min="19" max="19" width="7.44140625" customWidth="1"/>
    <col min="20" max="20" width="14.44140625" hidden="1" customWidth="1"/>
    <col min="21" max="21" width="6.33203125" customWidth="1"/>
    <col min="22" max="22" width="15.33203125" hidden="1" customWidth="1"/>
    <col min="23" max="23" width="8.44140625" customWidth="1"/>
    <col min="24" max="24" width="17.44140625" hidden="1" customWidth="1"/>
    <col min="25" max="25" width="6.33203125" hidden="1" customWidth="1"/>
    <col min="26" max="26" width="10.88671875" hidden="1" customWidth="1"/>
    <col min="27" max="27" width="7" customWidth="1"/>
    <col min="28" max="28" width="9.109375" hidden="1" customWidth="1"/>
    <col min="29" max="29" width="8.21875" customWidth="1"/>
    <col min="30" max="30" width="13.21875" hidden="1" customWidth="1"/>
    <col min="31" max="31" width="13.77734375" hidden="1" customWidth="1"/>
    <col min="32" max="32" width="9.77734375" customWidth="1"/>
    <col min="33" max="33" width="12.6640625" hidden="1" customWidth="1"/>
    <col min="34" max="34" width="13" hidden="1" customWidth="1"/>
    <col min="35" max="35" width="9.77734375" customWidth="1"/>
    <col min="36" max="36" width="15" hidden="1" customWidth="1"/>
    <col min="37" max="37" width="12.44140625" hidden="1" customWidth="1"/>
    <col min="38" max="38" width="10.77734375" customWidth="1"/>
    <col min="39" max="39" width="14.77734375" hidden="1" customWidth="1"/>
    <col min="40" max="40" width="15.77734375" hidden="1" customWidth="1"/>
    <col min="41" max="41" width="5.33203125" bestFit="1" customWidth="1"/>
    <col min="42" max="42" width="11.88671875" hidden="1" customWidth="1"/>
    <col min="43" max="43" width="10.33203125" hidden="1" customWidth="1"/>
    <col min="44" max="44" width="6.77734375" customWidth="1"/>
    <col min="45" max="45" width="10.21875" style="29" customWidth="1"/>
  </cols>
  <sheetData>
    <row r="1" spans="1:45" x14ac:dyDescent="0.3">
      <c r="A1" s="154" t="s">
        <v>0</v>
      </c>
      <c r="B1" s="154"/>
      <c r="C1" s="154"/>
      <c r="D1" s="154"/>
      <c r="E1" s="154"/>
      <c r="F1" s="154"/>
      <c r="G1" s="154"/>
      <c r="H1" s="154"/>
      <c r="I1" s="154"/>
    </row>
    <row r="2" spans="1:45" x14ac:dyDescent="0.3">
      <c r="A2" s="153" t="s">
        <v>563</v>
      </c>
      <c r="B2" s="154"/>
      <c r="C2" s="154"/>
      <c r="D2" s="154"/>
      <c r="E2" s="154"/>
      <c r="F2" s="154"/>
      <c r="G2" s="154"/>
      <c r="H2" s="154"/>
      <c r="I2" s="154"/>
    </row>
    <row r="3" spans="1:45" ht="16.5" hidden="1" customHeight="1" x14ac:dyDescent="0.3">
      <c r="A3" s="35" t="s">
        <v>1</v>
      </c>
      <c r="B3" s="35" t="s">
        <v>2</v>
      </c>
      <c r="C3" s="35"/>
      <c r="D3" s="155"/>
      <c r="E3" s="155"/>
      <c r="F3" s="155"/>
      <c r="G3" s="155"/>
      <c r="H3" s="155"/>
      <c r="I3" s="155"/>
    </row>
    <row r="4" spans="1:45" s="29" customFormat="1" ht="44.55" customHeight="1" thickBot="1" x14ac:dyDescent="0.35">
      <c r="A4" s="51" t="s">
        <v>1</v>
      </c>
      <c r="B4" s="51" t="s">
        <v>2</v>
      </c>
      <c r="C4" s="51" t="s">
        <v>131</v>
      </c>
      <c r="D4" s="53" t="s">
        <v>93</v>
      </c>
      <c r="E4" s="53" t="s">
        <v>193</v>
      </c>
      <c r="F4" s="53" t="s">
        <v>94</v>
      </c>
      <c r="G4" s="53" t="s">
        <v>192</v>
      </c>
      <c r="H4" s="53" t="s">
        <v>95</v>
      </c>
      <c r="I4" s="53" t="s">
        <v>107</v>
      </c>
      <c r="J4" s="53" t="s">
        <v>96</v>
      </c>
      <c r="K4" s="53" t="s">
        <v>164</v>
      </c>
      <c r="L4" s="53" t="s">
        <v>97</v>
      </c>
      <c r="M4" s="53" t="s">
        <v>194</v>
      </c>
      <c r="N4" s="53" t="s">
        <v>98</v>
      </c>
      <c r="O4" s="53" t="s">
        <v>165</v>
      </c>
      <c r="P4" s="53" t="s">
        <v>99</v>
      </c>
      <c r="Q4" s="53" t="s">
        <v>195</v>
      </c>
      <c r="R4" s="52" t="s">
        <v>78</v>
      </c>
      <c r="S4" s="52" t="s">
        <v>166</v>
      </c>
      <c r="T4" s="53" t="s">
        <v>102</v>
      </c>
      <c r="U4" s="53" t="s">
        <v>108</v>
      </c>
      <c r="V4" s="53" t="s">
        <v>79</v>
      </c>
      <c r="W4" s="53" t="s">
        <v>109</v>
      </c>
      <c r="X4" s="53" t="s">
        <v>80</v>
      </c>
      <c r="Y4" s="53" t="s">
        <v>3</v>
      </c>
      <c r="Z4" s="53" t="s">
        <v>90</v>
      </c>
      <c r="AA4" s="53" t="s">
        <v>110</v>
      </c>
      <c r="AB4" s="53" t="s">
        <v>89</v>
      </c>
      <c r="AC4" s="53" t="s">
        <v>111</v>
      </c>
      <c r="AD4" s="52" t="s">
        <v>81</v>
      </c>
      <c r="AE4" s="52" t="s">
        <v>82</v>
      </c>
      <c r="AF4" s="52" t="s">
        <v>112</v>
      </c>
      <c r="AG4" s="52" t="s">
        <v>83</v>
      </c>
      <c r="AH4" s="52" t="s">
        <v>84</v>
      </c>
      <c r="AI4" s="52" t="s">
        <v>113</v>
      </c>
      <c r="AJ4" s="52" t="s">
        <v>85</v>
      </c>
      <c r="AK4" s="52" t="s">
        <v>86</v>
      </c>
      <c r="AL4" s="52" t="s">
        <v>114</v>
      </c>
      <c r="AM4" s="52" t="s">
        <v>87</v>
      </c>
      <c r="AN4" s="52" t="s">
        <v>103</v>
      </c>
      <c r="AO4" s="52" t="s">
        <v>196</v>
      </c>
      <c r="AP4" s="53" t="s">
        <v>88</v>
      </c>
      <c r="AQ4" s="53" t="s">
        <v>104</v>
      </c>
      <c r="AR4" s="53" t="s">
        <v>115</v>
      </c>
      <c r="AS4" s="61" t="s">
        <v>167</v>
      </c>
    </row>
    <row r="5" spans="1:45" s="29" customFormat="1" ht="16.05" customHeight="1" thickTop="1" x14ac:dyDescent="0.3">
      <c r="A5" s="88"/>
      <c r="B5" s="88"/>
      <c r="C5" s="88"/>
      <c r="D5" s="88"/>
      <c r="E5" s="88">
        <v>1</v>
      </c>
      <c r="F5" s="88"/>
      <c r="G5" s="88">
        <v>2</v>
      </c>
      <c r="H5" s="88"/>
      <c r="I5" s="88"/>
      <c r="J5" s="88"/>
      <c r="K5" s="88">
        <v>3</v>
      </c>
      <c r="L5" s="88"/>
      <c r="M5" s="88"/>
      <c r="N5" s="88"/>
      <c r="O5" s="88">
        <v>4</v>
      </c>
      <c r="P5" s="88"/>
      <c r="Q5" s="88"/>
      <c r="R5" s="88"/>
      <c r="S5" s="88">
        <v>5</v>
      </c>
      <c r="T5" s="88"/>
      <c r="U5" s="88">
        <v>6</v>
      </c>
      <c r="V5" s="88"/>
      <c r="W5" s="88">
        <v>7</v>
      </c>
      <c r="X5" s="88"/>
      <c r="Y5" s="88"/>
      <c r="Z5" s="88"/>
      <c r="AA5" s="88">
        <v>8</v>
      </c>
      <c r="AB5" s="88"/>
      <c r="AC5" s="88">
        <v>9</v>
      </c>
      <c r="AD5" s="88"/>
      <c r="AE5" s="88"/>
      <c r="AF5" s="88">
        <v>10</v>
      </c>
      <c r="AG5" s="88"/>
      <c r="AH5" s="88"/>
      <c r="AI5" s="88">
        <v>11</v>
      </c>
      <c r="AJ5" s="88"/>
      <c r="AK5" s="88"/>
      <c r="AL5" s="88">
        <v>12</v>
      </c>
      <c r="AM5" s="88"/>
      <c r="AN5" s="88"/>
      <c r="AO5" s="88">
        <v>13</v>
      </c>
      <c r="AP5" s="88"/>
      <c r="AQ5" s="88"/>
      <c r="AR5" s="88">
        <v>14</v>
      </c>
      <c r="AS5" s="89"/>
    </row>
    <row r="6" spans="1:45" ht="15.6" x14ac:dyDescent="0.3">
      <c r="A6" s="44">
        <v>1</v>
      </c>
      <c r="B6" s="45" t="s">
        <v>48</v>
      </c>
      <c r="C6" s="58" t="s">
        <v>132</v>
      </c>
      <c r="D6" s="46">
        <v>77877</v>
      </c>
      <c r="E6" s="45">
        <v>98.78</v>
      </c>
      <c r="F6" s="46">
        <v>28458</v>
      </c>
      <c r="G6" s="45">
        <v>94.87</v>
      </c>
      <c r="H6" s="46">
        <v>4658</v>
      </c>
      <c r="I6" s="47">
        <v>16.37</v>
      </c>
      <c r="J6" s="46">
        <v>5342</v>
      </c>
      <c r="K6" s="47">
        <v>64.430000000000007</v>
      </c>
      <c r="L6" s="100">
        <v>856</v>
      </c>
      <c r="M6" s="14">
        <v>6.67</v>
      </c>
      <c r="N6" s="46">
        <v>4827</v>
      </c>
      <c r="O6" s="45">
        <v>14.05</v>
      </c>
      <c r="P6" s="46">
        <v>3237</v>
      </c>
      <c r="Q6" s="45">
        <v>19.920000000000002</v>
      </c>
      <c r="R6" s="46">
        <v>212</v>
      </c>
      <c r="S6" s="83">
        <v>25.45</v>
      </c>
      <c r="T6" s="46">
        <v>78836</v>
      </c>
      <c r="U6" s="45">
        <v>97.77</v>
      </c>
      <c r="V6" s="46">
        <v>53324</v>
      </c>
      <c r="W6" s="45">
        <v>56.24</v>
      </c>
      <c r="X6" s="46"/>
      <c r="Y6" s="45"/>
      <c r="Z6" s="46">
        <v>8479</v>
      </c>
      <c r="AA6" s="45">
        <v>90.43</v>
      </c>
      <c r="AB6" s="46">
        <v>8317</v>
      </c>
      <c r="AC6" s="45">
        <v>95.78</v>
      </c>
      <c r="AD6" s="46">
        <v>15736</v>
      </c>
      <c r="AE6" s="46">
        <v>1508</v>
      </c>
      <c r="AF6" s="45">
        <v>9.58</v>
      </c>
      <c r="AG6" s="46">
        <v>19079</v>
      </c>
      <c r="AH6" s="46">
        <v>1419</v>
      </c>
      <c r="AI6" s="45">
        <v>7.44</v>
      </c>
      <c r="AJ6" s="46">
        <v>115951</v>
      </c>
      <c r="AK6" s="46">
        <v>2051</v>
      </c>
      <c r="AL6" s="45">
        <v>1.77</v>
      </c>
      <c r="AM6" s="46">
        <v>376</v>
      </c>
      <c r="AN6" s="45">
        <v>96</v>
      </c>
      <c r="AO6" s="45">
        <v>25.53</v>
      </c>
      <c r="AP6" s="48">
        <v>31615</v>
      </c>
      <c r="AQ6" s="49">
        <v>12411</v>
      </c>
      <c r="AR6" s="50">
        <v>39.256681954768311</v>
      </c>
      <c r="AS6" s="80">
        <v>7</v>
      </c>
    </row>
    <row r="7" spans="1:45" ht="15.6" x14ac:dyDescent="0.3">
      <c r="A7" s="25">
        <v>2</v>
      </c>
      <c r="B7" s="14" t="s">
        <v>49</v>
      </c>
      <c r="C7" s="59" t="s">
        <v>133</v>
      </c>
      <c r="D7" s="26">
        <v>80194</v>
      </c>
      <c r="E7" s="14">
        <v>100</v>
      </c>
      <c r="F7" s="26">
        <v>26853</v>
      </c>
      <c r="G7" s="14">
        <v>100</v>
      </c>
      <c r="H7" s="26">
        <v>6631</v>
      </c>
      <c r="I7" s="17">
        <v>24.69</v>
      </c>
      <c r="J7" s="26">
        <v>3711</v>
      </c>
      <c r="K7" s="17">
        <v>48.38</v>
      </c>
      <c r="L7" s="100">
        <v>1307</v>
      </c>
      <c r="M7" s="14">
        <v>11.55</v>
      </c>
      <c r="N7" s="26">
        <v>3942</v>
      </c>
      <c r="O7" s="14">
        <v>15.16</v>
      </c>
      <c r="P7" s="26">
        <v>3115</v>
      </c>
      <c r="Q7" s="14">
        <v>19.97</v>
      </c>
      <c r="R7" s="26">
        <v>174</v>
      </c>
      <c r="S7" s="14">
        <v>16.91</v>
      </c>
      <c r="T7" s="26">
        <v>70618</v>
      </c>
      <c r="U7" s="14">
        <v>99.51</v>
      </c>
      <c r="V7" s="26">
        <v>27468</v>
      </c>
      <c r="W7" s="14">
        <v>11.35</v>
      </c>
      <c r="X7" s="26"/>
      <c r="Y7" s="14"/>
      <c r="Z7" s="26">
        <v>10536</v>
      </c>
      <c r="AA7" s="14">
        <v>88.12</v>
      </c>
      <c r="AB7" s="26">
        <v>8700</v>
      </c>
      <c r="AC7" s="14">
        <v>97.8</v>
      </c>
      <c r="AD7" s="26">
        <v>24614</v>
      </c>
      <c r="AE7" s="26">
        <v>1781</v>
      </c>
      <c r="AF7" s="14">
        <v>7.24</v>
      </c>
      <c r="AG7" s="26">
        <v>42169</v>
      </c>
      <c r="AH7" s="26">
        <v>1314</v>
      </c>
      <c r="AI7" s="14">
        <v>3.12</v>
      </c>
      <c r="AJ7" s="26">
        <v>193142</v>
      </c>
      <c r="AK7" s="26">
        <v>4675</v>
      </c>
      <c r="AL7" s="14">
        <v>2.42</v>
      </c>
      <c r="AM7" s="26">
        <v>799</v>
      </c>
      <c r="AN7" s="14">
        <v>510</v>
      </c>
      <c r="AO7" s="14">
        <v>63.83</v>
      </c>
      <c r="AP7" s="38">
        <v>23858</v>
      </c>
      <c r="AQ7" s="39">
        <v>10140</v>
      </c>
      <c r="AR7" s="40">
        <v>42.501467013161204</v>
      </c>
      <c r="AS7" s="80">
        <v>6</v>
      </c>
    </row>
    <row r="8" spans="1:45" ht="15.6" x14ac:dyDescent="0.3">
      <c r="A8" s="25">
        <v>3</v>
      </c>
      <c r="B8" s="14" t="s">
        <v>44</v>
      </c>
      <c r="C8" s="59" t="s">
        <v>134</v>
      </c>
      <c r="D8" s="26">
        <v>42770</v>
      </c>
      <c r="E8" s="14">
        <v>99.94</v>
      </c>
      <c r="F8" s="26">
        <v>14352</v>
      </c>
      <c r="G8" s="14">
        <v>99.14</v>
      </c>
      <c r="H8" s="26">
        <v>3684</v>
      </c>
      <c r="I8" s="17">
        <v>25.67</v>
      </c>
      <c r="J8" s="26">
        <v>3028</v>
      </c>
      <c r="K8" s="17">
        <v>53.15</v>
      </c>
      <c r="L8" s="100">
        <v>1776</v>
      </c>
      <c r="M8" s="14">
        <v>19.47</v>
      </c>
      <c r="N8" s="26">
        <v>2120</v>
      </c>
      <c r="O8" s="14">
        <v>11.92</v>
      </c>
      <c r="P8" s="26">
        <v>2467</v>
      </c>
      <c r="Q8" s="14">
        <v>23.14</v>
      </c>
      <c r="R8" s="26">
        <v>346</v>
      </c>
      <c r="S8" s="27">
        <v>47.59</v>
      </c>
      <c r="T8" s="26">
        <v>43192</v>
      </c>
      <c r="U8" s="14">
        <v>96.49</v>
      </c>
      <c r="V8" s="26">
        <v>15668</v>
      </c>
      <c r="W8" s="14">
        <v>23.86</v>
      </c>
      <c r="X8" s="26"/>
      <c r="Y8" s="14"/>
      <c r="Z8" s="26">
        <v>6805</v>
      </c>
      <c r="AA8" s="14">
        <v>88.99</v>
      </c>
      <c r="AB8" s="26">
        <v>4243</v>
      </c>
      <c r="AC8" s="14">
        <v>88.8</v>
      </c>
      <c r="AD8" s="26">
        <v>8472</v>
      </c>
      <c r="AE8" s="26">
        <v>856</v>
      </c>
      <c r="AF8" s="14">
        <v>10.1</v>
      </c>
      <c r="AG8" s="26">
        <v>17242</v>
      </c>
      <c r="AH8" s="26">
        <v>1101</v>
      </c>
      <c r="AI8" s="14">
        <v>6.39</v>
      </c>
      <c r="AJ8" s="26">
        <v>77197</v>
      </c>
      <c r="AK8" s="26">
        <v>2733</v>
      </c>
      <c r="AL8" s="14">
        <v>3.54</v>
      </c>
      <c r="AM8" s="26">
        <v>283</v>
      </c>
      <c r="AN8" s="14">
        <v>70</v>
      </c>
      <c r="AO8" s="14">
        <v>24.73</v>
      </c>
      <c r="AP8" s="38">
        <v>16754</v>
      </c>
      <c r="AQ8" s="39">
        <v>6699</v>
      </c>
      <c r="AR8" s="40">
        <v>39.984481317894236</v>
      </c>
      <c r="AS8" s="80">
        <v>6</v>
      </c>
    </row>
    <row r="9" spans="1:45" ht="15.6" x14ac:dyDescent="0.3">
      <c r="A9" s="25">
        <v>4</v>
      </c>
      <c r="B9" s="14" t="s">
        <v>50</v>
      </c>
      <c r="C9" s="59" t="s">
        <v>135</v>
      </c>
      <c r="D9" s="26">
        <v>39209</v>
      </c>
      <c r="E9" s="14">
        <v>96.43</v>
      </c>
      <c r="F9" s="26">
        <v>13161</v>
      </c>
      <c r="G9" s="14">
        <v>93.03</v>
      </c>
      <c r="H9" s="26">
        <v>4372</v>
      </c>
      <c r="I9" s="17">
        <v>33.22</v>
      </c>
      <c r="J9" s="26">
        <v>2885</v>
      </c>
      <c r="K9" s="17">
        <v>59.61</v>
      </c>
      <c r="L9" s="100">
        <v>955</v>
      </c>
      <c r="M9" s="14">
        <v>11.89</v>
      </c>
      <c r="N9" s="26">
        <v>2997</v>
      </c>
      <c r="O9" s="14">
        <v>19.399999999999999</v>
      </c>
      <c r="P9" s="26">
        <v>2162</v>
      </c>
      <c r="Q9" s="14">
        <v>23.35</v>
      </c>
      <c r="R9" s="26">
        <v>381</v>
      </c>
      <c r="S9" s="14">
        <v>32.21</v>
      </c>
      <c r="T9" s="26">
        <v>42215</v>
      </c>
      <c r="U9" s="14">
        <v>94.76</v>
      </c>
      <c r="V9" s="26">
        <v>13057</v>
      </c>
      <c r="W9" s="14">
        <v>8.93</v>
      </c>
      <c r="X9" s="26"/>
      <c r="Y9" s="14"/>
      <c r="Z9" s="26">
        <v>5652</v>
      </c>
      <c r="AA9" s="14">
        <v>88.05</v>
      </c>
      <c r="AB9" s="26">
        <v>5066</v>
      </c>
      <c r="AC9" s="14">
        <v>91.99</v>
      </c>
      <c r="AD9" s="26">
        <v>8372</v>
      </c>
      <c r="AE9" s="26">
        <v>865</v>
      </c>
      <c r="AF9" s="14">
        <v>10.33</v>
      </c>
      <c r="AG9" s="26">
        <v>22333</v>
      </c>
      <c r="AH9" s="26">
        <v>1334</v>
      </c>
      <c r="AI9" s="14">
        <v>5.97</v>
      </c>
      <c r="AJ9" s="26">
        <v>99819</v>
      </c>
      <c r="AK9" s="26">
        <v>4622</v>
      </c>
      <c r="AL9" s="14">
        <v>4.63</v>
      </c>
      <c r="AM9" s="26">
        <v>313</v>
      </c>
      <c r="AN9" s="14">
        <v>131</v>
      </c>
      <c r="AO9" s="14">
        <v>41.85</v>
      </c>
      <c r="AP9" s="38">
        <v>14328</v>
      </c>
      <c r="AQ9" s="39">
        <v>6516</v>
      </c>
      <c r="AR9" s="40">
        <v>45.477386934673369</v>
      </c>
      <c r="AS9" s="80">
        <v>6</v>
      </c>
    </row>
    <row r="10" spans="1:45" ht="15.6" x14ac:dyDescent="0.3">
      <c r="A10" s="25">
        <v>5</v>
      </c>
      <c r="B10" s="14" t="s">
        <v>51</v>
      </c>
      <c r="C10" s="59" t="s">
        <v>136</v>
      </c>
      <c r="D10" s="26">
        <v>52447</v>
      </c>
      <c r="E10" s="14">
        <v>92.32</v>
      </c>
      <c r="F10" s="26">
        <v>19351</v>
      </c>
      <c r="G10" s="14">
        <v>90.37</v>
      </c>
      <c r="H10" s="26">
        <v>3107</v>
      </c>
      <c r="I10" s="17">
        <v>16.059999999999999</v>
      </c>
      <c r="J10" s="26">
        <v>490</v>
      </c>
      <c r="K10" s="17">
        <v>8.74</v>
      </c>
      <c r="L10" s="100">
        <v>2020</v>
      </c>
      <c r="M10" s="14">
        <v>26.38</v>
      </c>
      <c r="N10" s="26">
        <v>1393</v>
      </c>
      <c r="O10" s="14">
        <v>6.43</v>
      </c>
      <c r="P10" s="26">
        <v>2938</v>
      </c>
      <c r="Q10" s="14">
        <v>22.44</v>
      </c>
      <c r="R10" s="26">
        <v>125</v>
      </c>
      <c r="S10" s="14">
        <v>16.760000000000002</v>
      </c>
      <c r="T10" s="26">
        <v>53913</v>
      </c>
      <c r="U10" s="14">
        <v>98.24</v>
      </c>
      <c r="V10" s="26">
        <v>2533</v>
      </c>
      <c r="W10" s="14">
        <v>2.35</v>
      </c>
      <c r="X10" s="26"/>
      <c r="Y10" s="14"/>
      <c r="Z10" s="26">
        <v>7923</v>
      </c>
      <c r="AA10" s="14">
        <v>91.65</v>
      </c>
      <c r="AB10" s="26">
        <v>5672</v>
      </c>
      <c r="AC10" s="14">
        <v>93.47</v>
      </c>
      <c r="AD10" s="26">
        <v>10801</v>
      </c>
      <c r="AE10" s="26">
        <v>580</v>
      </c>
      <c r="AF10" s="14">
        <v>5.37</v>
      </c>
      <c r="AG10" s="26">
        <v>16691</v>
      </c>
      <c r="AH10" s="26">
        <v>1160</v>
      </c>
      <c r="AI10" s="14">
        <v>6.95</v>
      </c>
      <c r="AJ10" s="26">
        <v>75553</v>
      </c>
      <c r="AK10" s="26">
        <v>3968</v>
      </c>
      <c r="AL10" s="14">
        <v>5.25</v>
      </c>
      <c r="AM10" s="26">
        <v>53</v>
      </c>
      <c r="AN10" s="14">
        <v>10</v>
      </c>
      <c r="AO10" s="14">
        <v>18.87</v>
      </c>
      <c r="AP10" s="38">
        <v>19762</v>
      </c>
      <c r="AQ10" s="39">
        <v>6908</v>
      </c>
      <c r="AR10" s="40">
        <v>34.955976115777752</v>
      </c>
      <c r="AS10" s="80">
        <v>5</v>
      </c>
    </row>
    <row r="11" spans="1:45" ht="15.6" x14ac:dyDescent="0.3">
      <c r="A11" s="25">
        <v>6</v>
      </c>
      <c r="B11" s="14" t="s">
        <v>52</v>
      </c>
      <c r="C11" s="59" t="s">
        <v>137</v>
      </c>
      <c r="D11" s="26">
        <v>29322</v>
      </c>
      <c r="E11" s="14">
        <v>87.26</v>
      </c>
      <c r="F11" s="26">
        <v>10932</v>
      </c>
      <c r="G11" s="14">
        <v>98.68</v>
      </c>
      <c r="H11" s="26">
        <v>1586</v>
      </c>
      <c r="I11" s="17">
        <v>14.51</v>
      </c>
      <c r="J11" s="26">
        <v>615</v>
      </c>
      <c r="K11" s="17">
        <v>24.86</v>
      </c>
      <c r="L11" s="100">
        <v>564</v>
      </c>
      <c r="M11" s="14">
        <v>16.329999999999998</v>
      </c>
      <c r="N11" s="26">
        <v>754</v>
      </c>
      <c r="O11" s="14">
        <v>5.95</v>
      </c>
      <c r="P11" s="26">
        <v>1144</v>
      </c>
      <c r="Q11" s="14">
        <v>24.02</v>
      </c>
      <c r="R11" s="26">
        <v>112</v>
      </c>
      <c r="S11" s="27">
        <v>18.82</v>
      </c>
      <c r="T11" s="26">
        <v>27372</v>
      </c>
      <c r="U11" s="14">
        <v>98.31</v>
      </c>
      <c r="V11" s="26">
        <v>3467</v>
      </c>
      <c r="W11" s="14">
        <v>10.15</v>
      </c>
      <c r="X11" s="26"/>
      <c r="Y11" s="14"/>
      <c r="Z11" s="26">
        <v>3292</v>
      </c>
      <c r="AA11" s="14">
        <v>92.89</v>
      </c>
      <c r="AB11" s="26">
        <v>3226</v>
      </c>
      <c r="AC11" s="14">
        <v>97.4</v>
      </c>
      <c r="AD11" s="26">
        <v>3573</v>
      </c>
      <c r="AE11" s="26">
        <v>264</v>
      </c>
      <c r="AF11" s="14">
        <v>7.39</v>
      </c>
      <c r="AG11" s="26">
        <v>7482</v>
      </c>
      <c r="AH11" s="26">
        <v>704</v>
      </c>
      <c r="AI11" s="14">
        <v>9.41</v>
      </c>
      <c r="AJ11" s="26">
        <v>27069</v>
      </c>
      <c r="AK11" s="26">
        <v>960</v>
      </c>
      <c r="AL11" s="14">
        <v>3.55</v>
      </c>
      <c r="AM11" s="26">
        <v>81</v>
      </c>
      <c r="AN11" s="14">
        <v>20</v>
      </c>
      <c r="AO11" s="14">
        <v>24.69</v>
      </c>
      <c r="AP11" s="38">
        <v>11687</v>
      </c>
      <c r="AQ11" s="39">
        <v>4265</v>
      </c>
      <c r="AR11" s="40">
        <v>36.493539830580993</v>
      </c>
      <c r="AS11" s="80">
        <v>5</v>
      </c>
    </row>
    <row r="12" spans="1:45" ht="15.6" x14ac:dyDescent="0.3">
      <c r="A12" s="25">
        <v>7</v>
      </c>
      <c r="B12" s="14" t="s">
        <v>53</v>
      </c>
      <c r="C12" s="59" t="s">
        <v>138</v>
      </c>
      <c r="D12" s="26">
        <v>36372</v>
      </c>
      <c r="E12" s="14">
        <v>99.73</v>
      </c>
      <c r="F12" s="26">
        <v>15415</v>
      </c>
      <c r="G12" s="14">
        <v>97.15</v>
      </c>
      <c r="H12" s="26">
        <v>1782</v>
      </c>
      <c r="I12" s="17">
        <v>11.56</v>
      </c>
      <c r="J12" s="26">
        <v>190</v>
      </c>
      <c r="K12" s="17">
        <v>14.81</v>
      </c>
      <c r="L12" s="100">
        <v>209</v>
      </c>
      <c r="M12" s="14">
        <v>10.84</v>
      </c>
      <c r="N12" s="26">
        <v>269</v>
      </c>
      <c r="O12" s="14">
        <v>1.96</v>
      </c>
      <c r="P12" s="26">
        <v>819</v>
      </c>
      <c r="Q12" s="14">
        <v>22.7</v>
      </c>
      <c r="R12" s="26">
        <v>190</v>
      </c>
      <c r="S12" s="14">
        <v>19.37</v>
      </c>
      <c r="T12" s="26">
        <v>35467</v>
      </c>
      <c r="U12" s="14">
        <v>97</v>
      </c>
      <c r="V12" s="26">
        <v>656</v>
      </c>
      <c r="W12" s="14">
        <v>1.77</v>
      </c>
      <c r="X12" s="26"/>
      <c r="Y12" s="14"/>
      <c r="Z12" s="26">
        <v>3909</v>
      </c>
      <c r="AA12" s="14">
        <v>92.13</v>
      </c>
      <c r="AB12" s="26">
        <v>3411</v>
      </c>
      <c r="AC12" s="14">
        <v>98.81</v>
      </c>
      <c r="AD12" s="26">
        <v>3997</v>
      </c>
      <c r="AE12" s="26">
        <v>243</v>
      </c>
      <c r="AF12" s="14">
        <v>6.08</v>
      </c>
      <c r="AG12" s="26">
        <v>14071</v>
      </c>
      <c r="AH12" s="26">
        <v>742</v>
      </c>
      <c r="AI12" s="14">
        <v>5.27</v>
      </c>
      <c r="AJ12" s="26">
        <v>66879</v>
      </c>
      <c r="AK12" s="26">
        <v>1504</v>
      </c>
      <c r="AL12" s="14">
        <v>2.25</v>
      </c>
      <c r="AM12" s="26">
        <v>87</v>
      </c>
      <c r="AN12" s="14">
        <v>18</v>
      </c>
      <c r="AO12" s="14">
        <v>20.69</v>
      </c>
      <c r="AP12" s="38">
        <v>12548</v>
      </c>
      <c r="AQ12" s="39">
        <v>5089</v>
      </c>
      <c r="AR12" s="40">
        <v>40.556263946445647</v>
      </c>
      <c r="AS12" s="80">
        <v>5</v>
      </c>
    </row>
    <row r="13" spans="1:45" ht="15.6" x14ac:dyDescent="0.3">
      <c r="A13" s="25">
        <v>8</v>
      </c>
      <c r="B13" s="14" t="s">
        <v>54</v>
      </c>
      <c r="C13" s="59" t="s">
        <v>139</v>
      </c>
      <c r="D13" s="26">
        <v>43774</v>
      </c>
      <c r="E13" s="14">
        <v>87.23</v>
      </c>
      <c r="F13" s="26">
        <v>14706</v>
      </c>
      <c r="G13" s="14">
        <v>86.58</v>
      </c>
      <c r="H13" s="26">
        <v>5830</v>
      </c>
      <c r="I13" s="17">
        <v>39.64</v>
      </c>
      <c r="J13" s="26">
        <v>748</v>
      </c>
      <c r="K13" s="17">
        <v>26.97</v>
      </c>
      <c r="L13" s="100">
        <v>448</v>
      </c>
      <c r="M13" s="14">
        <v>8.89</v>
      </c>
      <c r="N13" s="26">
        <v>1114</v>
      </c>
      <c r="O13" s="14">
        <v>5.07</v>
      </c>
      <c r="P13" s="26">
        <v>1595</v>
      </c>
      <c r="Q13" s="14">
        <v>22.93</v>
      </c>
      <c r="R13" s="26">
        <v>242</v>
      </c>
      <c r="S13" s="27">
        <v>25.99</v>
      </c>
      <c r="T13" s="26">
        <v>50196</v>
      </c>
      <c r="U13" s="14">
        <v>95.68</v>
      </c>
      <c r="V13" s="26">
        <v>2990</v>
      </c>
      <c r="W13" s="14">
        <v>3.42</v>
      </c>
      <c r="X13" s="26"/>
      <c r="Y13" s="14"/>
      <c r="Z13" s="26">
        <v>4779</v>
      </c>
      <c r="AA13" s="14">
        <v>96.72</v>
      </c>
      <c r="AB13" s="26">
        <v>3689</v>
      </c>
      <c r="AC13" s="14">
        <v>94.23</v>
      </c>
      <c r="AD13" s="26">
        <v>9366</v>
      </c>
      <c r="AE13" s="26">
        <v>286</v>
      </c>
      <c r="AF13" s="14">
        <v>3.05</v>
      </c>
      <c r="AG13" s="26">
        <v>17379</v>
      </c>
      <c r="AH13" s="26">
        <v>637</v>
      </c>
      <c r="AI13" s="14">
        <v>3.67</v>
      </c>
      <c r="AJ13" s="26">
        <v>78815</v>
      </c>
      <c r="AK13" s="26">
        <v>1073</v>
      </c>
      <c r="AL13" s="14">
        <v>1.36</v>
      </c>
      <c r="AM13" s="26">
        <v>167</v>
      </c>
      <c r="AN13" s="14">
        <v>3</v>
      </c>
      <c r="AO13" s="14">
        <v>1.8</v>
      </c>
      <c r="AP13" s="38">
        <v>20070</v>
      </c>
      <c r="AQ13" s="39">
        <v>8932</v>
      </c>
      <c r="AR13" s="40">
        <v>44.504235176880918</v>
      </c>
      <c r="AS13" s="80">
        <v>5</v>
      </c>
    </row>
    <row r="14" spans="1:45" ht="15.6" x14ac:dyDescent="0.3">
      <c r="A14" s="25">
        <v>9</v>
      </c>
      <c r="B14" s="14" t="s">
        <v>55</v>
      </c>
      <c r="C14" s="59" t="s">
        <v>140</v>
      </c>
      <c r="D14" s="26">
        <v>44948</v>
      </c>
      <c r="E14" s="14">
        <v>99.38</v>
      </c>
      <c r="F14" s="26">
        <v>15901</v>
      </c>
      <c r="G14" s="27">
        <v>100.77</v>
      </c>
      <c r="H14" s="26">
        <v>2227</v>
      </c>
      <c r="I14" s="17">
        <v>14.01</v>
      </c>
      <c r="J14" s="26">
        <v>873</v>
      </c>
      <c r="K14" s="17">
        <v>22.35</v>
      </c>
      <c r="L14" s="100">
        <v>515</v>
      </c>
      <c r="M14" s="14">
        <v>10.01</v>
      </c>
      <c r="N14" s="26">
        <v>1082</v>
      </c>
      <c r="O14" s="14">
        <v>7.12</v>
      </c>
      <c r="P14" s="26">
        <v>1669</v>
      </c>
      <c r="Q14" s="14">
        <v>19.77</v>
      </c>
      <c r="R14" s="26">
        <v>86</v>
      </c>
      <c r="S14" s="27">
        <v>22.63</v>
      </c>
      <c r="T14" s="26">
        <v>42882</v>
      </c>
      <c r="U14" s="14">
        <v>96.98</v>
      </c>
      <c r="V14" s="26">
        <v>3517</v>
      </c>
      <c r="W14" s="14">
        <v>2.83</v>
      </c>
      <c r="X14" s="26"/>
      <c r="Y14" s="14"/>
      <c r="Z14" s="26">
        <v>5426</v>
      </c>
      <c r="AA14" s="14">
        <v>90.13</v>
      </c>
      <c r="AB14" s="26">
        <v>3162</v>
      </c>
      <c r="AC14" s="14">
        <v>95.5</v>
      </c>
      <c r="AD14" s="26">
        <v>4319</v>
      </c>
      <c r="AE14" s="26">
        <v>593</v>
      </c>
      <c r="AF14" s="14">
        <v>13.73</v>
      </c>
      <c r="AG14" s="26">
        <v>6305</v>
      </c>
      <c r="AH14" s="26">
        <v>622</v>
      </c>
      <c r="AI14" s="14">
        <v>9.8699999999999992</v>
      </c>
      <c r="AJ14" s="26">
        <v>31106</v>
      </c>
      <c r="AK14" s="26">
        <v>3144</v>
      </c>
      <c r="AL14" s="14">
        <v>10.11</v>
      </c>
      <c r="AM14" s="26">
        <v>37</v>
      </c>
      <c r="AN14" s="14">
        <v>11</v>
      </c>
      <c r="AO14" s="14">
        <v>29.73</v>
      </c>
      <c r="AP14" s="38">
        <v>14055</v>
      </c>
      <c r="AQ14" s="39">
        <v>5876</v>
      </c>
      <c r="AR14" s="40">
        <v>41.807186054784772</v>
      </c>
      <c r="AS14" s="82">
        <v>4</v>
      </c>
    </row>
    <row r="15" spans="1:45" ht="15.6" x14ac:dyDescent="0.3">
      <c r="A15" s="25">
        <v>10</v>
      </c>
      <c r="B15" s="14" t="s">
        <v>56</v>
      </c>
      <c r="C15" s="59" t="s">
        <v>141</v>
      </c>
      <c r="D15" s="26">
        <v>43248</v>
      </c>
      <c r="E15" s="14">
        <v>92.23</v>
      </c>
      <c r="F15" s="26">
        <v>20288</v>
      </c>
      <c r="G15" s="14">
        <v>98.87</v>
      </c>
      <c r="H15" s="26">
        <v>4274</v>
      </c>
      <c r="I15" s="17">
        <v>21.07</v>
      </c>
      <c r="J15" s="26">
        <v>1614</v>
      </c>
      <c r="K15" s="17">
        <v>37.94</v>
      </c>
      <c r="L15" s="100">
        <v>581</v>
      </c>
      <c r="M15" s="14">
        <v>9.66</v>
      </c>
      <c r="N15" s="26">
        <v>2065</v>
      </c>
      <c r="O15" s="14">
        <v>10.96</v>
      </c>
      <c r="P15" s="26">
        <v>1452</v>
      </c>
      <c r="Q15" s="14">
        <v>17.86</v>
      </c>
      <c r="R15" s="26">
        <v>285</v>
      </c>
      <c r="S15" s="14">
        <v>35.36</v>
      </c>
      <c r="T15" s="26">
        <v>47344</v>
      </c>
      <c r="U15" s="14">
        <v>98.59</v>
      </c>
      <c r="V15" s="26">
        <v>10341</v>
      </c>
      <c r="W15" s="14">
        <v>8.4700000000000006</v>
      </c>
      <c r="X15" s="26"/>
      <c r="Y15" s="14"/>
      <c r="Z15" s="26">
        <v>8088</v>
      </c>
      <c r="AA15" s="14">
        <v>93.51</v>
      </c>
      <c r="AB15" s="26">
        <v>5143</v>
      </c>
      <c r="AC15" s="14">
        <v>89.06</v>
      </c>
      <c r="AD15" s="26">
        <v>15100</v>
      </c>
      <c r="AE15" s="26">
        <v>1386</v>
      </c>
      <c r="AF15" s="14">
        <v>9.18</v>
      </c>
      <c r="AG15" s="26">
        <v>25656</v>
      </c>
      <c r="AH15" s="26">
        <v>1241</v>
      </c>
      <c r="AI15" s="14">
        <v>4.84</v>
      </c>
      <c r="AJ15" s="26">
        <v>104337</v>
      </c>
      <c r="AK15" s="26">
        <v>1271</v>
      </c>
      <c r="AL15" s="14">
        <v>1.22</v>
      </c>
      <c r="AM15" s="26">
        <v>381</v>
      </c>
      <c r="AN15" s="14">
        <v>121</v>
      </c>
      <c r="AO15" s="14">
        <v>31.76</v>
      </c>
      <c r="AP15" s="38">
        <v>17328</v>
      </c>
      <c r="AQ15" s="39">
        <v>7033</v>
      </c>
      <c r="AR15" s="40">
        <v>40.587488457987078</v>
      </c>
      <c r="AS15" s="80">
        <v>5</v>
      </c>
    </row>
    <row r="16" spans="1:45" ht="15.6" x14ac:dyDescent="0.3">
      <c r="A16" s="25">
        <v>11</v>
      </c>
      <c r="B16" s="14" t="s">
        <v>57</v>
      </c>
      <c r="C16" s="59" t="s">
        <v>142</v>
      </c>
      <c r="D16" s="26">
        <v>37428</v>
      </c>
      <c r="E16" s="14">
        <v>99.47</v>
      </c>
      <c r="F16" s="26">
        <v>11943</v>
      </c>
      <c r="G16" s="14">
        <v>95.52</v>
      </c>
      <c r="H16" s="26">
        <v>3508</v>
      </c>
      <c r="I16" s="17">
        <v>29.37</v>
      </c>
      <c r="J16" s="26">
        <v>169</v>
      </c>
      <c r="K16" s="17">
        <v>7.91</v>
      </c>
      <c r="L16" s="100">
        <v>307</v>
      </c>
      <c r="M16" s="14">
        <v>11.1</v>
      </c>
      <c r="N16" s="26">
        <v>1770</v>
      </c>
      <c r="O16" s="14">
        <v>12.45</v>
      </c>
      <c r="P16" s="26">
        <v>686</v>
      </c>
      <c r="Q16" s="14">
        <v>16.64</v>
      </c>
      <c r="R16" s="26">
        <v>565</v>
      </c>
      <c r="S16" s="27">
        <v>47.32</v>
      </c>
      <c r="T16" s="26">
        <v>35793</v>
      </c>
      <c r="U16" s="14">
        <v>99.91</v>
      </c>
      <c r="V16" s="26">
        <v>16471</v>
      </c>
      <c r="W16" s="14">
        <v>17.079999999999998</v>
      </c>
      <c r="X16" s="26"/>
      <c r="Y16" s="14"/>
      <c r="Z16" s="26">
        <v>5886</v>
      </c>
      <c r="AA16" s="14">
        <v>91.38</v>
      </c>
      <c r="AB16" s="26">
        <v>4506</v>
      </c>
      <c r="AC16" s="14">
        <v>99.51</v>
      </c>
      <c r="AD16" s="26">
        <v>10670</v>
      </c>
      <c r="AE16" s="26">
        <v>1557</v>
      </c>
      <c r="AF16" s="14">
        <v>14.59</v>
      </c>
      <c r="AG16" s="26">
        <v>18394</v>
      </c>
      <c r="AH16" s="26">
        <v>1084</v>
      </c>
      <c r="AI16" s="14">
        <v>5.89</v>
      </c>
      <c r="AJ16" s="26">
        <v>79616</v>
      </c>
      <c r="AK16" s="26">
        <v>7351</v>
      </c>
      <c r="AL16" s="14">
        <v>9.23</v>
      </c>
      <c r="AM16" s="26">
        <v>394</v>
      </c>
      <c r="AN16" s="14">
        <v>283</v>
      </c>
      <c r="AO16" s="14">
        <v>71.83</v>
      </c>
      <c r="AP16" s="38">
        <v>13304</v>
      </c>
      <c r="AQ16" s="39">
        <v>6763</v>
      </c>
      <c r="AR16" s="40">
        <v>50.834335538184007</v>
      </c>
      <c r="AS16" s="80">
        <v>5</v>
      </c>
    </row>
    <row r="17" spans="1:45" ht="15.6" x14ac:dyDescent="0.3">
      <c r="A17" s="25">
        <v>12</v>
      </c>
      <c r="B17" s="14" t="s">
        <v>58</v>
      </c>
      <c r="C17" s="59" t="s">
        <v>143</v>
      </c>
      <c r="D17" s="26">
        <v>36250</v>
      </c>
      <c r="E17" s="14">
        <v>99.96</v>
      </c>
      <c r="F17" s="26">
        <v>12389</v>
      </c>
      <c r="G17" s="14">
        <v>94.53</v>
      </c>
      <c r="H17" s="26">
        <v>1241</v>
      </c>
      <c r="I17" s="17">
        <v>10.02</v>
      </c>
      <c r="J17" s="26">
        <v>299</v>
      </c>
      <c r="K17" s="17">
        <v>8.36</v>
      </c>
      <c r="L17" s="100">
        <v>500</v>
      </c>
      <c r="M17" s="14">
        <v>12.67</v>
      </c>
      <c r="N17" s="26">
        <v>588</v>
      </c>
      <c r="O17" s="14">
        <v>4.74</v>
      </c>
      <c r="P17" s="26">
        <v>1305</v>
      </c>
      <c r="Q17" s="14">
        <v>19.829999999999998</v>
      </c>
      <c r="R17" s="26">
        <v>157</v>
      </c>
      <c r="S17" s="14">
        <v>28.86</v>
      </c>
      <c r="T17" s="26">
        <v>31490</v>
      </c>
      <c r="U17" s="14">
        <v>99.45</v>
      </c>
      <c r="V17" s="26">
        <v>5168</v>
      </c>
      <c r="W17" s="14">
        <v>8.68</v>
      </c>
      <c r="X17" s="26"/>
      <c r="Y17" s="14"/>
      <c r="Z17" s="26">
        <v>2636</v>
      </c>
      <c r="AA17" s="14">
        <v>78.78</v>
      </c>
      <c r="AB17" s="26">
        <v>1519</v>
      </c>
      <c r="AC17" s="14">
        <v>94.58</v>
      </c>
      <c r="AD17" s="26">
        <v>4384</v>
      </c>
      <c r="AE17" s="26">
        <v>303</v>
      </c>
      <c r="AF17" s="14">
        <v>6.91</v>
      </c>
      <c r="AG17" s="26">
        <v>8389</v>
      </c>
      <c r="AH17" s="26">
        <v>354</v>
      </c>
      <c r="AI17" s="14">
        <v>4.22</v>
      </c>
      <c r="AJ17" s="26">
        <v>47613</v>
      </c>
      <c r="AK17" s="26">
        <v>2876</v>
      </c>
      <c r="AL17" s="14">
        <v>6.04</v>
      </c>
      <c r="AM17" s="26">
        <v>151</v>
      </c>
      <c r="AN17" s="14">
        <v>59</v>
      </c>
      <c r="AO17" s="14">
        <v>39.07</v>
      </c>
      <c r="AP17" s="38">
        <v>11540</v>
      </c>
      <c r="AQ17" s="39">
        <v>4629</v>
      </c>
      <c r="AR17" s="40">
        <v>40.112651646447141</v>
      </c>
      <c r="AS17" s="80">
        <v>5</v>
      </c>
    </row>
    <row r="18" spans="1:45" ht="15.6" x14ac:dyDescent="0.3">
      <c r="A18" s="25">
        <v>13</v>
      </c>
      <c r="B18" s="14" t="s">
        <v>59</v>
      </c>
      <c r="C18" s="59" t="s">
        <v>144</v>
      </c>
      <c r="D18" s="26">
        <v>33685</v>
      </c>
      <c r="E18" s="14">
        <v>97.91</v>
      </c>
      <c r="F18" s="26">
        <v>11733</v>
      </c>
      <c r="G18" s="14">
        <v>96.9</v>
      </c>
      <c r="H18" s="26">
        <v>1586</v>
      </c>
      <c r="I18" s="17">
        <v>13.52</v>
      </c>
      <c r="J18" s="26">
        <v>1</v>
      </c>
      <c r="K18" s="17">
        <v>0.24</v>
      </c>
      <c r="L18" s="100">
        <v>34</v>
      </c>
      <c r="M18" s="14">
        <v>5.77</v>
      </c>
      <c r="N18" s="26">
        <v>131</v>
      </c>
      <c r="O18" s="14">
        <v>0.95</v>
      </c>
      <c r="P18" s="26">
        <v>276</v>
      </c>
      <c r="Q18" s="14">
        <v>17.95</v>
      </c>
      <c r="R18" s="26">
        <v>199</v>
      </c>
      <c r="S18" s="14">
        <v>26.89</v>
      </c>
      <c r="T18" s="26">
        <v>37781</v>
      </c>
      <c r="U18" s="14">
        <v>95.63</v>
      </c>
      <c r="V18" s="26">
        <v>408</v>
      </c>
      <c r="W18" s="14">
        <v>1.57</v>
      </c>
      <c r="X18" s="26"/>
      <c r="Y18" s="14"/>
      <c r="Z18" s="26">
        <v>4940</v>
      </c>
      <c r="AA18" s="14">
        <v>89.7</v>
      </c>
      <c r="AB18" s="26">
        <v>4790</v>
      </c>
      <c r="AC18" s="14">
        <v>96.3</v>
      </c>
      <c r="AD18" s="26">
        <v>5808</v>
      </c>
      <c r="AE18" s="26">
        <v>373</v>
      </c>
      <c r="AF18" s="14">
        <v>6.42</v>
      </c>
      <c r="AG18" s="26">
        <v>11137</v>
      </c>
      <c r="AH18" s="26">
        <v>762</v>
      </c>
      <c r="AI18" s="14">
        <v>6.84</v>
      </c>
      <c r="AJ18" s="26">
        <v>67100</v>
      </c>
      <c r="AK18" s="26">
        <v>3228</v>
      </c>
      <c r="AL18" s="14">
        <v>4.8099999999999996</v>
      </c>
      <c r="AM18" s="26">
        <v>14</v>
      </c>
      <c r="AN18" s="14">
        <v>7</v>
      </c>
      <c r="AO18" s="14">
        <v>50</v>
      </c>
      <c r="AP18" s="38">
        <v>12969</v>
      </c>
      <c r="AQ18" s="39">
        <v>5738</v>
      </c>
      <c r="AR18" s="40">
        <v>44.243966381370967</v>
      </c>
      <c r="AS18" s="80">
        <v>5</v>
      </c>
    </row>
    <row r="19" spans="1:45" ht="15.6" x14ac:dyDescent="0.3">
      <c r="A19" s="25">
        <v>14</v>
      </c>
      <c r="B19" s="14" t="s">
        <v>60</v>
      </c>
      <c r="C19" s="59" t="s">
        <v>145</v>
      </c>
      <c r="D19" s="26">
        <v>40106</v>
      </c>
      <c r="E19" s="14">
        <v>85.11</v>
      </c>
      <c r="F19" s="26">
        <v>21356</v>
      </c>
      <c r="G19" s="14">
        <v>88.33</v>
      </c>
      <c r="H19" s="26">
        <v>1748</v>
      </c>
      <c r="I19" s="17">
        <v>8.19</v>
      </c>
      <c r="J19" s="26">
        <v>61</v>
      </c>
      <c r="K19" s="17">
        <v>5.19</v>
      </c>
      <c r="L19" s="100">
        <v>110</v>
      </c>
      <c r="M19" s="14">
        <v>8.17</v>
      </c>
      <c r="N19" s="26">
        <v>64</v>
      </c>
      <c r="O19" s="14">
        <v>0.41</v>
      </c>
      <c r="P19" s="26">
        <v>699</v>
      </c>
      <c r="Q19" s="14">
        <v>18.97</v>
      </c>
      <c r="R19" s="26">
        <v>85</v>
      </c>
      <c r="S19" s="14">
        <v>16.54</v>
      </c>
      <c r="T19" s="26">
        <v>34328</v>
      </c>
      <c r="U19" s="14">
        <v>93.45</v>
      </c>
      <c r="V19" s="26">
        <v>517</v>
      </c>
      <c r="W19" s="14">
        <v>1.67</v>
      </c>
      <c r="X19" s="26"/>
      <c r="Y19" s="14"/>
      <c r="Z19" s="26">
        <v>1767</v>
      </c>
      <c r="AA19" s="14">
        <v>95.05</v>
      </c>
      <c r="AB19" s="26">
        <v>1647</v>
      </c>
      <c r="AC19" s="14">
        <v>93.21</v>
      </c>
      <c r="AD19" s="26">
        <v>2833</v>
      </c>
      <c r="AE19" s="26">
        <v>231</v>
      </c>
      <c r="AF19" s="14">
        <v>8.15</v>
      </c>
      <c r="AG19" s="26">
        <v>3719</v>
      </c>
      <c r="AH19" s="26">
        <v>305</v>
      </c>
      <c r="AI19" s="14">
        <v>8.1999999999999993</v>
      </c>
      <c r="AJ19" s="26">
        <v>18193</v>
      </c>
      <c r="AK19" s="26">
        <v>1082</v>
      </c>
      <c r="AL19" s="14">
        <v>5.95</v>
      </c>
      <c r="AM19" s="26">
        <v>29</v>
      </c>
      <c r="AN19" s="14">
        <v>3</v>
      </c>
      <c r="AO19" s="14">
        <v>10.34</v>
      </c>
      <c r="AP19" s="38">
        <v>14346</v>
      </c>
      <c r="AQ19" s="39">
        <v>7090</v>
      </c>
      <c r="AR19" s="40">
        <v>49.421441516799106</v>
      </c>
      <c r="AS19" s="80">
        <v>5</v>
      </c>
    </row>
    <row r="20" spans="1:45" ht="15.6" x14ac:dyDescent="0.3">
      <c r="A20" s="25">
        <v>15</v>
      </c>
      <c r="B20" s="14" t="s">
        <v>61</v>
      </c>
      <c r="C20" s="59" t="s">
        <v>146</v>
      </c>
      <c r="D20" s="26">
        <v>41661</v>
      </c>
      <c r="E20" s="14">
        <v>65.89</v>
      </c>
      <c r="F20" s="26">
        <v>27580</v>
      </c>
      <c r="G20" s="14">
        <v>95.18</v>
      </c>
      <c r="H20" s="26">
        <v>2622</v>
      </c>
      <c r="I20" s="17">
        <v>9.51</v>
      </c>
      <c r="J20" s="26">
        <v>1864</v>
      </c>
      <c r="K20" s="17">
        <v>48.69</v>
      </c>
      <c r="L20" s="100">
        <v>609</v>
      </c>
      <c r="M20" s="14">
        <v>9.5299999999999994</v>
      </c>
      <c r="N20" s="26">
        <v>2398</v>
      </c>
      <c r="O20" s="14">
        <v>11</v>
      </c>
      <c r="P20" s="26">
        <v>2074</v>
      </c>
      <c r="Q20" s="14">
        <v>20.37</v>
      </c>
      <c r="R20" s="26">
        <v>268</v>
      </c>
      <c r="S20" s="14">
        <v>35.83</v>
      </c>
      <c r="T20" s="26">
        <v>56151</v>
      </c>
      <c r="U20" s="14">
        <v>93.96</v>
      </c>
      <c r="V20" s="26">
        <v>6730</v>
      </c>
      <c r="W20" s="14">
        <v>14.94</v>
      </c>
      <c r="X20" s="26"/>
      <c r="Y20" s="14"/>
      <c r="Z20" s="26">
        <v>3028</v>
      </c>
      <c r="AA20" s="14">
        <v>78.02</v>
      </c>
      <c r="AB20" s="26">
        <v>4285</v>
      </c>
      <c r="AC20" s="14">
        <v>92.43</v>
      </c>
      <c r="AD20" s="26">
        <v>12536</v>
      </c>
      <c r="AE20" s="26">
        <v>487</v>
      </c>
      <c r="AF20" s="14">
        <v>3.88</v>
      </c>
      <c r="AG20" s="26">
        <v>13808</v>
      </c>
      <c r="AH20" s="26">
        <v>1859</v>
      </c>
      <c r="AI20" s="14">
        <v>13.46</v>
      </c>
      <c r="AJ20" s="26">
        <v>65858</v>
      </c>
      <c r="AK20" s="26">
        <v>29</v>
      </c>
      <c r="AL20" s="14">
        <v>0.04</v>
      </c>
      <c r="AM20" s="26">
        <v>276</v>
      </c>
      <c r="AN20" s="14">
        <v>57</v>
      </c>
      <c r="AO20" s="14">
        <v>20.65</v>
      </c>
      <c r="AP20" s="38">
        <v>20184</v>
      </c>
      <c r="AQ20" s="39">
        <v>10300</v>
      </c>
      <c r="AR20" s="40">
        <v>51.030519223147039</v>
      </c>
      <c r="AS20" s="80">
        <v>5</v>
      </c>
    </row>
    <row r="21" spans="1:45" ht="15.6" x14ac:dyDescent="0.3">
      <c r="A21" s="25">
        <v>16</v>
      </c>
      <c r="B21" s="14" t="s">
        <v>62</v>
      </c>
      <c r="C21" s="59" t="s">
        <v>147</v>
      </c>
      <c r="D21" s="26">
        <v>34592</v>
      </c>
      <c r="E21" s="14">
        <v>100</v>
      </c>
      <c r="F21" s="26">
        <v>12416</v>
      </c>
      <c r="G21" s="14">
        <v>99.93</v>
      </c>
      <c r="H21" s="26">
        <v>1673</v>
      </c>
      <c r="I21" s="17">
        <v>13.47</v>
      </c>
      <c r="J21" s="26">
        <v>3533</v>
      </c>
      <c r="K21" s="17">
        <v>76.31</v>
      </c>
      <c r="L21" s="100">
        <v>780</v>
      </c>
      <c r="M21" s="14">
        <v>9.5</v>
      </c>
      <c r="N21" s="26">
        <v>4890</v>
      </c>
      <c r="O21" s="14">
        <v>34.28</v>
      </c>
      <c r="P21" s="26">
        <v>1626</v>
      </c>
      <c r="Q21" s="14">
        <v>18.3</v>
      </c>
      <c r="R21" s="26">
        <v>319</v>
      </c>
      <c r="S21" s="14">
        <v>39.380000000000003</v>
      </c>
      <c r="T21" s="26">
        <v>34266</v>
      </c>
      <c r="U21" s="14">
        <v>99.04</v>
      </c>
      <c r="V21" s="26">
        <v>24914</v>
      </c>
      <c r="W21" s="14">
        <v>34.049999999999997</v>
      </c>
      <c r="X21" s="26"/>
      <c r="Y21" s="14"/>
      <c r="Z21" s="26">
        <v>4556</v>
      </c>
      <c r="AA21" s="14">
        <v>86.5</v>
      </c>
      <c r="AB21" s="26">
        <v>3037</v>
      </c>
      <c r="AC21" s="14">
        <v>93.82</v>
      </c>
      <c r="AD21" s="26">
        <v>17442</v>
      </c>
      <c r="AE21" s="26">
        <v>1897</v>
      </c>
      <c r="AF21" s="14">
        <v>10.88</v>
      </c>
      <c r="AG21" s="26">
        <v>20549</v>
      </c>
      <c r="AH21" s="26">
        <v>1355</v>
      </c>
      <c r="AI21" s="14">
        <v>6.59</v>
      </c>
      <c r="AJ21" s="26">
        <v>81308</v>
      </c>
      <c r="AK21" s="26">
        <v>1787</v>
      </c>
      <c r="AL21" s="14">
        <v>2.2000000000000002</v>
      </c>
      <c r="AM21" s="26">
        <v>87</v>
      </c>
      <c r="AN21" s="14">
        <v>28</v>
      </c>
      <c r="AO21" s="14">
        <v>32.18</v>
      </c>
      <c r="AP21" s="38">
        <v>13002</v>
      </c>
      <c r="AQ21" s="39">
        <v>5793</v>
      </c>
      <c r="AR21" s="40">
        <v>44.55468389478542</v>
      </c>
      <c r="AS21" s="80">
        <v>6</v>
      </c>
    </row>
    <row r="22" spans="1:45" ht="15.6" x14ac:dyDescent="0.3">
      <c r="A22" s="25">
        <v>17</v>
      </c>
      <c r="B22" s="14" t="s">
        <v>63</v>
      </c>
      <c r="C22" s="59" t="s">
        <v>145</v>
      </c>
      <c r="D22" s="26">
        <v>29071</v>
      </c>
      <c r="E22" s="14">
        <v>100</v>
      </c>
      <c r="F22" s="26">
        <v>10060</v>
      </c>
      <c r="G22" s="14">
        <v>100</v>
      </c>
      <c r="H22" s="26">
        <v>1106</v>
      </c>
      <c r="I22" s="17">
        <v>10.99</v>
      </c>
      <c r="J22" s="26">
        <v>2404</v>
      </c>
      <c r="K22" s="17">
        <v>63.89</v>
      </c>
      <c r="L22" s="100">
        <v>690</v>
      </c>
      <c r="M22" s="14">
        <v>9.9</v>
      </c>
      <c r="N22" s="26">
        <v>2194</v>
      </c>
      <c r="O22" s="14">
        <v>20.29</v>
      </c>
      <c r="P22" s="26">
        <v>1477</v>
      </c>
      <c r="Q22" s="14">
        <v>20.170000000000002</v>
      </c>
      <c r="R22" s="26">
        <v>303</v>
      </c>
      <c r="S22" s="14">
        <v>29.33</v>
      </c>
      <c r="T22" s="26">
        <v>26518</v>
      </c>
      <c r="U22" s="14">
        <v>90.09</v>
      </c>
      <c r="V22" s="26">
        <v>5277</v>
      </c>
      <c r="W22" s="14">
        <v>15.73</v>
      </c>
      <c r="X22" s="26"/>
      <c r="Y22" s="14"/>
      <c r="Z22" s="26">
        <v>4292</v>
      </c>
      <c r="AA22" s="14">
        <v>91.81</v>
      </c>
      <c r="AB22" s="26">
        <v>2731</v>
      </c>
      <c r="AC22" s="14">
        <v>92.05</v>
      </c>
      <c r="AD22" s="26">
        <v>10886</v>
      </c>
      <c r="AE22" s="26">
        <v>1080</v>
      </c>
      <c r="AF22" s="14">
        <v>9.92</v>
      </c>
      <c r="AG22" s="26">
        <v>17002</v>
      </c>
      <c r="AH22" s="26">
        <v>787</v>
      </c>
      <c r="AI22" s="14">
        <v>4.63</v>
      </c>
      <c r="AJ22" s="26">
        <v>59463</v>
      </c>
      <c r="AK22" s="26">
        <v>2929</v>
      </c>
      <c r="AL22" s="14">
        <v>4.93</v>
      </c>
      <c r="AM22" s="26">
        <v>701</v>
      </c>
      <c r="AN22" s="14">
        <v>146</v>
      </c>
      <c r="AO22" s="14">
        <v>20.83</v>
      </c>
      <c r="AP22" s="38">
        <v>9771</v>
      </c>
      <c r="AQ22" s="39">
        <v>4823</v>
      </c>
      <c r="AR22" s="40">
        <v>49.360352062224948</v>
      </c>
      <c r="AS22" s="80">
        <v>6</v>
      </c>
    </row>
    <row r="23" spans="1:45" ht="15.6" x14ac:dyDescent="0.3">
      <c r="A23" s="25">
        <v>18</v>
      </c>
      <c r="B23" s="14" t="s">
        <v>64</v>
      </c>
      <c r="C23" s="59" t="s">
        <v>148</v>
      </c>
      <c r="D23" s="26">
        <v>46788</v>
      </c>
      <c r="E23" s="14">
        <v>75.87</v>
      </c>
      <c r="F23" s="26">
        <v>17012</v>
      </c>
      <c r="G23" s="14">
        <v>77.2</v>
      </c>
      <c r="H23" s="26">
        <v>1280</v>
      </c>
      <c r="I23" s="17">
        <v>7.52</v>
      </c>
      <c r="J23" s="26">
        <v>879</v>
      </c>
      <c r="K23" s="17">
        <v>16.91</v>
      </c>
      <c r="L23" s="100">
        <v>1136</v>
      </c>
      <c r="M23" s="14">
        <v>15.09</v>
      </c>
      <c r="N23" s="26">
        <v>2031</v>
      </c>
      <c r="O23" s="14">
        <v>12.27</v>
      </c>
      <c r="P23" s="26">
        <v>1796</v>
      </c>
      <c r="Q23" s="14">
        <v>15.87</v>
      </c>
      <c r="R23" s="26">
        <v>126</v>
      </c>
      <c r="S23" s="14">
        <v>12.07</v>
      </c>
      <c r="T23" s="26">
        <v>50374</v>
      </c>
      <c r="U23" s="14">
        <v>92.82</v>
      </c>
      <c r="V23" s="26">
        <v>5343</v>
      </c>
      <c r="W23" s="14">
        <v>7.64</v>
      </c>
      <c r="X23" s="26"/>
      <c r="Y23" s="14"/>
      <c r="Z23" s="26">
        <v>6198</v>
      </c>
      <c r="AA23" s="14">
        <v>87.8</v>
      </c>
      <c r="AB23" s="26">
        <v>5635</v>
      </c>
      <c r="AC23" s="14">
        <v>95.43</v>
      </c>
      <c r="AD23" s="26">
        <v>12997</v>
      </c>
      <c r="AE23" s="26">
        <v>1078</v>
      </c>
      <c r="AF23" s="14">
        <v>8.2899999999999991</v>
      </c>
      <c r="AG23" s="26">
        <v>16984</v>
      </c>
      <c r="AH23" s="26">
        <v>1217</v>
      </c>
      <c r="AI23" s="14">
        <v>7.17</v>
      </c>
      <c r="AJ23" s="26">
        <v>87927</v>
      </c>
      <c r="AK23" s="26">
        <v>1258</v>
      </c>
      <c r="AL23" s="14">
        <v>1.43</v>
      </c>
      <c r="AM23" s="26">
        <v>506</v>
      </c>
      <c r="AN23" s="14">
        <v>127</v>
      </c>
      <c r="AO23" s="14">
        <v>25.1</v>
      </c>
      <c r="AP23" s="38">
        <v>15422</v>
      </c>
      <c r="AQ23" s="39">
        <v>8808</v>
      </c>
      <c r="AR23" s="40">
        <v>57.113214887822593</v>
      </c>
      <c r="AS23" s="80">
        <v>6</v>
      </c>
    </row>
    <row r="24" spans="1:45" ht="15.6" x14ac:dyDescent="0.3">
      <c r="A24" s="25">
        <v>19</v>
      </c>
      <c r="B24" s="14" t="s">
        <v>65</v>
      </c>
      <c r="C24" s="59" t="s">
        <v>149</v>
      </c>
      <c r="D24" s="26">
        <v>43371</v>
      </c>
      <c r="E24" s="14">
        <v>91.08</v>
      </c>
      <c r="F24" s="26">
        <v>17976</v>
      </c>
      <c r="G24" s="14">
        <v>96.88</v>
      </c>
      <c r="H24" s="26">
        <v>2293</v>
      </c>
      <c r="I24" s="17">
        <v>12.76</v>
      </c>
      <c r="J24" s="26">
        <v>343</v>
      </c>
      <c r="K24" s="17">
        <v>18.899999999999999</v>
      </c>
      <c r="L24" s="100">
        <v>306</v>
      </c>
      <c r="M24" s="14">
        <v>6.29</v>
      </c>
      <c r="N24" s="26">
        <v>364</v>
      </c>
      <c r="O24" s="14">
        <v>2.5499999999999998</v>
      </c>
      <c r="P24" s="26">
        <v>1736</v>
      </c>
      <c r="Q24" s="14">
        <v>21.17</v>
      </c>
      <c r="R24" s="26">
        <v>83</v>
      </c>
      <c r="S24" s="14">
        <v>14.26</v>
      </c>
      <c r="T24" s="26">
        <v>39751</v>
      </c>
      <c r="U24" s="14">
        <v>98.16</v>
      </c>
      <c r="V24" s="26">
        <v>825</v>
      </c>
      <c r="W24" s="14">
        <v>2.02</v>
      </c>
      <c r="X24" s="26"/>
      <c r="Y24" s="14"/>
      <c r="Z24" s="26">
        <v>4632</v>
      </c>
      <c r="AA24" s="14">
        <v>77.150000000000006</v>
      </c>
      <c r="AB24" s="26">
        <v>3894</v>
      </c>
      <c r="AC24" s="14">
        <v>95.21</v>
      </c>
      <c r="AD24" s="26">
        <v>5314</v>
      </c>
      <c r="AE24" s="26">
        <v>140</v>
      </c>
      <c r="AF24" s="14">
        <v>2.63</v>
      </c>
      <c r="AG24" s="26">
        <v>4173</v>
      </c>
      <c r="AH24" s="26">
        <v>361</v>
      </c>
      <c r="AI24" s="14">
        <v>8.65</v>
      </c>
      <c r="AJ24" s="26">
        <v>31015</v>
      </c>
      <c r="AK24" s="26">
        <v>1171</v>
      </c>
      <c r="AL24" s="14">
        <v>3.78</v>
      </c>
      <c r="AM24" s="26">
        <v>321</v>
      </c>
      <c r="AN24" s="14">
        <v>34</v>
      </c>
      <c r="AO24" s="14">
        <v>10.59</v>
      </c>
      <c r="AP24" s="38">
        <v>13244</v>
      </c>
      <c r="AQ24" s="39">
        <v>8393</v>
      </c>
      <c r="AR24" s="40">
        <v>63.372093023255815</v>
      </c>
      <c r="AS24" s="80">
        <v>6</v>
      </c>
    </row>
    <row r="25" spans="1:45" ht="15.6" x14ac:dyDescent="0.3">
      <c r="A25" s="25">
        <v>20</v>
      </c>
      <c r="B25" s="14" t="s">
        <v>66</v>
      </c>
      <c r="C25" s="59" t="s">
        <v>132</v>
      </c>
      <c r="D25" s="26">
        <v>50064</v>
      </c>
      <c r="E25" s="14">
        <v>90.55</v>
      </c>
      <c r="F25" s="26">
        <v>17477</v>
      </c>
      <c r="G25" s="14">
        <v>90.68</v>
      </c>
      <c r="H25" s="26">
        <v>2947</v>
      </c>
      <c r="I25" s="17">
        <v>16.86</v>
      </c>
      <c r="J25" s="26">
        <v>1263</v>
      </c>
      <c r="K25" s="17">
        <v>31.97</v>
      </c>
      <c r="L25" s="100">
        <v>508</v>
      </c>
      <c r="M25" s="14">
        <v>9.23</v>
      </c>
      <c r="N25" s="26">
        <v>1779</v>
      </c>
      <c r="O25" s="14">
        <v>8.8000000000000007</v>
      </c>
      <c r="P25" s="26">
        <v>2151</v>
      </c>
      <c r="Q25" s="14">
        <v>21.26</v>
      </c>
      <c r="R25" s="26">
        <v>267</v>
      </c>
      <c r="S25" s="27">
        <v>34.72</v>
      </c>
      <c r="T25" s="26">
        <v>54789</v>
      </c>
      <c r="U25" s="14">
        <v>96.58</v>
      </c>
      <c r="V25" s="26">
        <v>1195</v>
      </c>
      <c r="W25" s="14">
        <v>1.19</v>
      </c>
      <c r="X25" s="26"/>
      <c r="Y25" s="14"/>
      <c r="Z25" s="26">
        <v>3378</v>
      </c>
      <c r="AA25" s="14">
        <v>93.52</v>
      </c>
      <c r="AB25" s="26">
        <v>3013</v>
      </c>
      <c r="AC25" s="14">
        <v>91</v>
      </c>
      <c r="AD25" s="26">
        <v>9762</v>
      </c>
      <c r="AE25" s="26">
        <v>810</v>
      </c>
      <c r="AF25" s="14">
        <v>8.3000000000000007</v>
      </c>
      <c r="AG25" s="26">
        <v>9998</v>
      </c>
      <c r="AH25" s="26">
        <v>1217</v>
      </c>
      <c r="AI25" s="14">
        <v>12.17</v>
      </c>
      <c r="AJ25" s="26">
        <v>67906</v>
      </c>
      <c r="AK25" s="26">
        <v>3547</v>
      </c>
      <c r="AL25" s="14">
        <v>5.22</v>
      </c>
      <c r="AM25" s="26">
        <v>729</v>
      </c>
      <c r="AN25" s="14">
        <v>36</v>
      </c>
      <c r="AO25" s="14">
        <v>4.9400000000000004</v>
      </c>
      <c r="AP25" s="38">
        <v>18959</v>
      </c>
      <c r="AQ25" s="39">
        <v>8488</v>
      </c>
      <c r="AR25" s="40">
        <v>44.770293791866663</v>
      </c>
      <c r="AS25" s="80">
        <v>6</v>
      </c>
    </row>
    <row r="26" spans="1:45" ht="15.6" x14ac:dyDescent="0.3">
      <c r="A26" s="25">
        <v>21</v>
      </c>
      <c r="B26" s="14" t="s">
        <v>67</v>
      </c>
      <c r="C26" s="59" t="s">
        <v>150</v>
      </c>
      <c r="D26" s="26">
        <v>51237</v>
      </c>
      <c r="E26" s="14">
        <v>99.96</v>
      </c>
      <c r="F26" s="26">
        <v>21864</v>
      </c>
      <c r="G26" s="14">
        <v>99.08</v>
      </c>
      <c r="H26" s="26">
        <v>1999</v>
      </c>
      <c r="I26" s="17">
        <v>9.14</v>
      </c>
      <c r="J26" s="26">
        <v>1469</v>
      </c>
      <c r="K26" s="17">
        <v>30.75</v>
      </c>
      <c r="L26" s="100">
        <v>484</v>
      </c>
      <c r="M26" s="14">
        <v>5.17</v>
      </c>
      <c r="N26" s="26">
        <v>2728</v>
      </c>
      <c r="O26" s="14">
        <v>12.93</v>
      </c>
      <c r="P26" s="26">
        <v>2167</v>
      </c>
      <c r="Q26" s="14">
        <v>17.170000000000002</v>
      </c>
      <c r="R26" s="26">
        <v>288</v>
      </c>
      <c r="S26" s="27">
        <v>28.57</v>
      </c>
      <c r="T26" s="26">
        <v>63900</v>
      </c>
      <c r="U26" s="14">
        <v>99.48</v>
      </c>
      <c r="V26" s="26">
        <v>16034</v>
      </c>
      <c r="W26" s="14">
        <v>14.24</v>
      </c>
      <c r="X26" s="26"/>
      <c r="Y26" s="14"/>
      <c r="Z26" s="26">
        <v>9602</v>
      </c>
      <c r="AA26" s="14">
        <v>94.78</v>
      </c>
      <c r="AB26" s="26">
        <v>7475</v>
      </c>
      <c r="AC26" s="14">
        <v>98.68</v>
      </c>
      <c r="AD26" s="26">
        <v>9014</v>
      </c>
      <c r="AE26" s="26">
        <v>1455</v>
      </c>
      <c r="AF26" s="14">
        <v>16.14</v>
      </c>
      <c r="AG26" s="26">
        <v>7162</v>
      </c>
      <c r="AH26" s="26">
        <v>0</v>
      </c>
      <c r="AI26" s="14">
        <v>0</v>
      </c>
      <c r="AJ26" s="26">
        <v>99614</v>
      </c>
      <c r="AK26" s="26">
        <v>14</v>
      </c>
      <c r="AL26" s="14">
        <v>0.01</v>
      </c>
      <c r="AM26" s="26">
        <v>75</v>
      </c>
      <c r="AN26" s="14">
        <v>52</v>
      </c>
      <c r="AO26" s="14">
        <v>69.33</v>
      </c>
      <c r="AP26" s="38">
        <v>19892</v>
      </c>
      <c r="AQ26" s="39">
        <v>9830</v>
      </c>
      <c r="AR26" s="40">
        <v>49.416850995375029</v>
      </c>
      <c r="AS26" s="80">
        <v>6</v>
      </c>
    </row>
    <row r="27" spans="1:45" ht="15.6" x14ac:dyDescent="0.3">
      <c r="A27" s="25">
        <v>22</v>
      </c>
      <c r="B27" s="14" t="s">
        <v>68</v>
      </c>
      <c r="C27" s="59" t="s">
        <v>151</v>
      </c>
      <c r="D27" s="26">
        <v>37867</v>
      </c>
      <c r="E27" s="14">
        <v>92.78</v>
      </c>
      <c r="F27" s="26">
        <v>12474</v>
      </c>
      <c r="G27" s="14">
        <v>92.23</v>
      </c>
      <c r="H27" s="26">
        <v>2899</v>
      </c>
      <c r="I27" s="17">
        <v>23.24</v>
      </c>
      <c r="J27" s="26">
        <v>2368</v>
      </c>
      <c r="K27" s="17">
        <v>54.78</v>
      </c>
      <c r="L27" s="100">
        <v>638</v>
      </c>
      <c r="M27" s="14">
        <v>8.4</v>
      </c>
      <c r="N27" s="26">
        <v>2996</v>
      </c>
      <c r="O27" s="14">
        <v>17.059999999999999</v>
      </c>
      <c r="P27" s="26">
        <v>1718</v>
      </c>
      <c r="Q27" s="14">
        <v>20.38</v>
      </c>
      <c r="R27" s="26">
        <v>132</v>
      </c>
      <c r="S27" s="27">
        <v>27.16</v>
      </c>
      <c r="T27" s="26">
        <v>49315</v>
      </c>
      <c r="U27" s="14">
        <v>97.84</v>
      </c>
      <c r="V27" s="26">
        <v>4092</v>
      </c>
      <c r="W27" s="14">
        <v>6.95</v>
      </c>
      <c r="X27" s="26"/>
      <c r="Y27" s="14"/>
      <c r="Z27" s="26">
        <v>5120</v>
      </c>
      <c r="AA27" s="14">
        <v>86.22</v>
      </c>
      <c r="AB27" s="26">
        <v>5416</v>
      </c>
      <c r="AC27" s="14">
        <v>98.15</v>
      </c>
      <c r="AD27" s="26">
        <v>5671</v>
      </c>
      <c r="AE27" s="26">
        <v>735</v>
      </c>
      <c r="AF27" s="14">
        <v>12.96</v>
      </c>
      <c r="AG27" s="26">
        <v>8185</v>
      </c>
      <c r="AH27" s="26">
        <v>644</v>
      </c>
      <c r="AI27" s="14">
        <v>7.87</v>
      </c>
      <c r="AJ27" s="26">
        <v>73845</v>
      </c>
      <c r="AK27" s="26">
        <v>1383</v>
      </c>
      <c r="AL27" s="14">
        <v>1.87</v>
      </c>
      <c r="AM27" s="26">
        <v>27</v>
      </c>
      <c r="AN27" s="14">
        <v>1</v>
      </c>
      <c r="AO27" s="14">
        <v>3.7</v>
      </c>
      <c r="AP27" s="38">
        <v>16189</v>
      </c>
      <c r="AQ27" s="39">
        <v>7438</v>
      </c>
      <c r="AR27" s="40">
        <v>45.94477731793193</v>
      </c>
      <c r="AS27" s="80">
        <v>6</v>
      </c>
    </row>
    <row r="28" spans="1:45" ht="15.6" x14ac:dyDescent="0.3">
      <c r="A28" s="25">
        <v>23</v>
      </c>
      <c r="B28" s="14" t="s">
        <v>69</v>
      </c>
      <c r="C28" s="59" t="s">
        <v>152</v>
      </c>
      <c r="D28" s="26">
        <v>32109</v>
      </c>
      <c r="E28" s="14">
        <v>99.91</v>
      </c>
      <c r="F28" s="26">
        <v>11233</v>
      </c>
      <c r="G28" s="14">
        <v>95.78</v>
      </c>
      <c r="H28" s="26">
        <v>1292</v>
      </c>
      <c r="I28" s="17">
        <v>11.5</v>
      </c>
      <c r="J28" s="26">
        <v>367</v>
      </c>
      <c r="K28" s="17">
        <v>21.28</v>
      </c>
      <c r="L28" s="100">
        <v>398</v>
      </c>
      <c r="M28" s="14">
        <v>12.61</v>
      </c>
      <c r="N28" s="26">
        <v>701</v>
      </c>
      <c r="O28" s="14">
        <v>5.54</v>
      </c>
      <c r="P28" s="26">
        <v>1087</v>
      </c>
      <c r="Q28" s="14">
        <v>21.88</v>
      </c>
      <c r="R28" s="26">
        <v>21</v>
      </c>
      <c r="S28" s="14">
        <v>5.79</v>
      </c>
      <c r="T28" s="26">
        <v>26124</v>
      </c>
      <c r="U28" s="14">
        <v>98.52</v>
      </c>
      <c r="V28" s="26">
        <v>2270</v>
      </c>
      <c r="W28" s="14">
        <v>3.06</v>
      </c>
      <c r="X28" s="26"/>
      <c r="Y28" s="14"/>
      <c r="Z28" s="26">
        <v>2536</v>
      </c>
      <c r="AA28" s="14">
        <v>79.75</v>
      </c>
      <c r="AB28" s="26">
        <v>3236</v>
      </c>
      <c r="AC28" s="14">
        <v>95.77</v>
      </c>
      <c r="AD28" s="26">
        <v>2530</v>
      </c>
      <c r="AE28" s="26">
        <v>278</v>
      </c>
      <c r="AF28" s="14">
        <v>10.99</v>
      </c>
      <c r="AG28" s="26">
        <v>5863</v>
      </c>
      <c r="AH28" s="26">
        <v>312</v>
      </c>
      <c r="AI28" s="14">
        <v>5.32</v>
      </c>
      <c r="AJ28" s="26">
        <v>27459</v>
      </c>
      <c r="AK28" s="26">
        <v>4</v>
      </c>
      <c r="AL28" s="14">
        <v>0.01</v>
      </c>
      <c r="AM28" s="26">
        <v>47</v>
      </c>
      <c r="AN28" s="14">
        <v>2</v>
      </c>
      <c r="AO28" s="14">
        <v>4.26</v>
      </c>
      <c r="AP28" s="38">
        <v>11842</v>
      </c>
      <c r="AQ28" s="39">
        <v>4610</v>
      </c>
      <c r="AR28" s="40">
        <v>38.929234926532679</v>
      </c>
      <c r="AS28" s="80">
        <v>5</v>
      </c>
    </row>
    <row r="29" spans="1:45" ht="15.6" x14ac:dyDescent="0.3">
      <c r="A29" s="25">
        <v>24</v>
      </c>
      <c r="B29" s="14" t="s">
        <v>70</v>
      </c>
      <c r="C29" s="59" t="s">
        <v>153</v>
      </c>
      <c r="D29" s="26">
        <v>44576</v>
      </c>
      <c r="E29" s="14">
        <v>93.88</v>
      </c>
      <c r="F29" s="26">
        <v>21112</v>
      </c>
      <c r="G29" s="14">
        <v>93.84</v>
      </c>
      <c r="H29" s="26">
        <v>4496</v>
      </c>
      <c r="I29" s="17">
        <v>21.3</v>
      </c>
      <c r="J29" s="26">
        <v>2546</v>
      </c>
      <c r="K29" s="17">
        <v>46.84</v>
      </c>
      <c r="L29" s="100">
        <v>1234</v>
      </c>
      <c r="M29" s="14">
        <v>15.13</v>
      </c>
      <c r="N29" s="26">
        <v>3761</v>
      </c>
      <c r="O29" s="14">
        <v>21.71</v>
      </c>
      <c r="P29" s="26">
        <v>1919</v>
      </c>
      <c r="Q29" s="14">
        <v>18.59</v>
      </c>
      <c r="R29" s="26">
        <v>97</v>
      </c>
      <c r="S29" s="14">
        <v>17.170000000000002</v>
      </c>
      <c r="T29" s="26">
        <v>44562</v>
      </c>
      <c r="U29" s="14">
        <v>97.83</v>
      </c>
      <c r="V29" s="26">
        <v>9370</v>
      </c>
      <c r="W29" s="14">
        <v>9.2100000000000009</v>
      </c>
      <c r="X29" s="26"/>
      <c r="Y29" s="14"/>
      <c r="Z29" s="26">
        <v>4287</v>
      </c>
      <c r="AA29" s="14">
        <v>85.76</v>
      </c>
      <c r="AB29" s="26">
        <v>4469</v>
      </c>
      <c r="AC29" s="14">
        <v>96.15</v>
      </c>
      <c r="AD29" s="26">
        <v>11707</v>
      </c>
      <c r="AE29" s="26">
        <v>500</v>
      </c>
      <c r="AF29" s="14">
        <v>4.2699999999999996</v>
      </c>
      <c r="AG29" s="26">
        <v>14179</v>
      </c>
      <c r="AH29" s="26">
        <v>913</v>
      </c>
      <c r="AI29" s="14">
        <v>6.44</v>
      </c>
      <c r="AJ29" s="26">
        <v>67085</v>
      </c>
      <c r="AK29" s="26">
        <v>2429</v>
      </c>
      <c r="AL29" s="14">
        <v>3.62</v>
      </c>
      <c r="AM29" s="26">
        <v>458</v>
      </c>
      <c r="AN29" s="14">
        <v>38</v>
      </c>
      <c r="AO29" s="14">
        <v>8.3000000000000007</v>
      </c>
      <c r="AP29" s="38">
        <v>15898</v>
      </c>
      <c r="AQ29" s="39">
        <v>6908</v>
      </c>
      <c r="AR29" s="40">
        <v>43.452006541703355</v>
      </c>
      <c r="AS29" s="80">
        <v>6</v>
      </c>
    </row>
    <row r="30" spans="1:45" ht="15.6" x14ac:dyDescent="0.3">
      <c r="A30" s="25">
        <v>25</v>
      </c>
      <c r="B30" s="14" t="s">
        <v>71</v>
      </c>
      <c r="C30" s="59" t="s">
        <v>154</v>
      </c>
      <c r="D30" s="26">
        <v>29274</v>
      </c>
      <c r="E30" s="14">
        <v>95.16</v>
      </c>
      <c r="F30" s="26">
        <v>10576</v>
      </c>
      <c r="G30" s="14">
        <v>98.8</v>
      </c>
      <c r="H30" s="26">
        <v>610</v>
      </c>
      <c r="I30" s="17">
        <v>5.77</v>
      </c>
      <c r="J30" s="26">
        <v>2788</v>
      </c>
      <c r="K30" s="17">
        <v>58.24</v>
      </c>
      <c r="L30" s="100">
        <v>508</v>
      </c>
      <c r="M30" s="14">
        <v>6.45</v>
      </c>
      <c r="N30" s="26">
        <v>5112</v>
      </c>
      <c r="O30" s="14">
        <v>35.35</v>
      </c>
      <c r="P30" s="26">
        <v>1833</v>
      </c>
      <c r="Q30" s="14">
        <v>20.23</v>
      </c>
      <c r="R30" s="26">
        <v>499</v>
      </c>
      <c r="S30" s="27">
        <v>40.64</v>
      </c>
      <c r="T30" s="26">
        <v>36341</v>
      </c>
      <c r="U30" s="14">
        <v>95.3</v>
      </c>
      <c r="V30" s="26">
        <v>31364</v>
      </c>
      <c r="W30" s="14">
        <v>88.23</v>
      </c>
      <c r="X30" s="26"/>
      <c r="Y30" s="14"/>
      <c r="Z30" s="26">
        <v>6441</v>
      </c>
      <c r="AA30" s="14">
        <v>90.74</v>
      </c>
      <c r="AB30" s="26">
        <v>4193</v>
      </c>
      <c r="AC30" s="14">
        <v>94.56</v>
      </c>
      <c r="AD30" s="26">
        <v>8577</v>
      </c>
      <c r="AE30" s="26">
        <v>1548</v>
      </c>
      <c r="AF30" s="14">
        <v>18.05</v>
      </c>
      <c r="AG30" s="26">
        <v>13059</v>
      </c>
      <c r="AH30" s="26">
        <v>1023</v>
      </c>
      <c r="AI30" s="14">
        <v>7.83</v>
      </c>
      <c r="AJ30" s="26">
        <v>64466</v>
      </c>
      <c r="AK30" s="26">
        <v>1406</v>
      </c>
      <c r="AL30" s="14">
        <v>2.1800000000000002</v>
      </c>
      <c r="AM30" s="26">
        <v>305</v>
      </c>
      <c r="AN30" s="14">
        <v>63</v>
      </c>
      <c r="AO30" s="14">
        <v>20.66</v>
      </c>
      <c r="AP30" s="38">
        <v>13411</v>
      </c>
      <c r="AQ30" s="39">
        <v>5698</v>
      </c>
      <c r="AR30" s="40">
        <v>42.487510252777568</v>
      </c>
      <c r="AS30" s="136">
        <v>7</v>
      </c>
    </row>
    <row r="31" spans="1:45" ht="15.6" x14ac:dyDescent="0.3">
      <c r="A31" s="25">
        <v>26</v>
      </c>
      <c r="B31" s="14" t="s">
        <v>72</v>
      </c>
      <c r="C31" s="59" t="s">
        <v>155</v>
      </c>
      <c r="D31" s="26">
        <v>35803</v>
      </c>
      <c r="E31" s="14">
        <v>92.01</v>
      </c>
      <c r="F31" s="26">
        <v>13980</v>
      </c>
      <c r="G31" s="14">
        <v>99.21</v>
      </c>
      <c r="H31" s="26">
        <v>2528</v>
      </c>
      <c r="I31" s="17">
        <v>18.079999999999998</v>
      </c>
      <c r="J31" s="26">
        <v>2404</v>
      </c>
      <c r="K31" s="17">
        <v>44.15</v>
      </c>
      <c r="L31" s="100">
        <v>594</v>
      </c>
      <c r="M31" s="14">
        <v>7.02</v>
      </c>
      <c r="N31" s="26">
        <v>2650</v>
      </c>
      <c r="O31" s="14">
        <v>17</v>
      </c>
      <c r="P31" s="26">
        <v>2130</v>
      </c>
      <c r="Q31" s="14">
        <v>19.93</v>
      </c>
      <c r="R31" s="26">
        <v>135</v>
      </c>
      <c r="S31" s="27">
        <v>24.86</v>
      </c>
      <c r="T31" s="26">
        <v>42241</v>
      </c>
      <c r="U31" s="14">
        <v>94.9</v>
      </c>
      <c r="V31" s="26">
        <v>3561</v>
      </c>
      <c r="W31" s="14">
        <v>3.89</v>
      </c>
      <c r="X31" s="26"/>
      <c r="Y31" s="14"/>
      <c r="Z31" s="26">
        <v>6088</v>
      </c>
      <c r="AA31" s="14">
        <v>92.85</v>
      </c>
      <c r="AB31" s="26">
        <v>4508</v>
      </c>
      <c r="AC31" s="14">
        <v>94.61</v>
      </c>
      <c r="AD31" s="26">
        <v>12125</v>
      </c>
      <c r="AE31" s="26">
        <v>492</v>
      </c>
      <c r="AF31" s="14">
        <v>4.0599999999999996</v>
      </c>
      <c r="AG31" s="26">
        <v>13386</v>
      </c>
      <c r="AH31" s="26">
        <v>118</v>
      </c>
      <c r="AI31" s="14">
        <v>0.88</v>
      </c>
      <c r="AJ31" s="26">
        <v>56554</v>
      </c>
      <c r="AK31" s="26">
        <v>412</v>
      </c>
      <c r="AL31" s="14">
        <v>0.73</v>
      </c>
      <c r="AM31" s="26">
        <v>300</v>
      </c>
      <c r="AN31" s="14">
        <v>247</v>
      </c>
      <c r="AO31" s="14">
        <v>82.33</v>
      </c>
      <c r="AP31" s="38">
        <v>14359</v>
      </c>
      <c r="AQ31" s="39">
        <v>7272</v>
      </c>
      <c r="AR31" s="40">
        <v>50.644195278222718</v>
      </c>
      <c r="AS31" s="80">
        <v>6</v>
      </c>
    </row>
    <row r="32" spans="1:45" ht="15.6" x14ac:dyDescent="0.3">
      <c r="A32" s="25">
        <v>27</v>
      </c>
      <c r="B32" s="14" t="s">
        <v>73</v>
      </c>
      <c r="C32" s="59" t="s">
        <v>156</v>
      </c>
      <c r="D32" s="26">
        <v>57975</v>
      </c>
      <c r="E32" s="14">
        <v>99.73</v>
      </c>
      <c r="F32" s="26">
        <v>23692</v>
      </c>
      <c r="G32" s="14">
        <v>94.26</v>
      </c>
      <c r="H32" s="26">
        <v>1952</v>
      </c>
      <c r="I32" s="17">
        <v>8.24</v>
      </c>
      <c r="J32" s="26">
        <v>1627</v>
      </c>
      <c r="K32" s="17">
        <v>42.07</v>
      </c>
      <c r="L32" s="100">
        <v>556</v>
      </c>
      <c r="M32" s="14">
        <v>7.93</v>
      </c>
      <c r="N32" s="26">
        <v>1300</v>
      </c>
      <c r="O32" s="14">
        <v>4.53</v>
      </c>
      <c r="P32" s="26">
        <v>1948</v>
      </c>
      <c r="Q32" s="14">
        <v>21.49</v>
      </c>
      <c r="R32" s="26">
        <v>384</v>
      </c>
      <c r="S32" s="27">
        <v>19.440000000000001</v>
      </c>
      <c r="T32" s="26">
        <v>62884</v>
      </c>
      <c r="U32" s="14">
        <v>98.29</v>
      </c>
      <c r="V32" s="26">
        <v>3000</v>
      </c>
      <c r="W32" s="14">
        <v>3.05</v>
      </c>
      <c r="X32" s="26"/>
      <c r="Y32" s="14"/>
      <c r="Z32" s="26">
        <v>5316</v>
      </c>
      <c r="AA32" s="14">
        <v>78.62</v>
      </c>
      <c r="AB32" s="26">
        <v>5580</v>
      </c>
      <c r="AC32" s="14">
        <v>98.27</v>
      </c>
      <c r="AD32" s="26">
        <v>17977</v>
      </c>
      <c r="AE32" s="26">
        <v>369</v>
      </c>
      <c r="AF32" s="14">
        <v>2.0499999999999998</v>
      </c>
      <c r="AG32" s="26">
        <v>16780</v>
      </c>
      <c r="AH32" s="26">
        <v>700</v>
      </c>
      <c r="AI32" s="14">
        <v>4.17</v>
      </c>
      <c r="AJ32" s="26">
        <v>106661</v>
      </c>
      <c r="AK32" s="26">
        <v>884</v>
      </c>
      <c r="AL32" s="14">
        <v>0.83</v>
      </c>
      <c r="AM32" s="26">
        <v>750</v>
      </c>
      <c r="AN32" s="14">
        <v>248</v>
      </c>
      <c r="AO32" s="14">
        <v>33.07</v>
      </c>
      <c r="AP32" s="38">
        <v>26460</v>
      </c>
      <c r="AQ32" s="39">
        <v>10368</v>
      </c>
      <c r="AR32" s="40">
        <v>39.183673469387756</v>
      </c>
      <c r="AS32" s="136">
        <v>6</v>
      </c>
    </row>
    <row r="33" spans="1:46" ht="15.6" x14ac:dyDescent="0.3">
      <c r="A33" s="25">
        <v>28</v>
      </c>
      <c r="B33" s="14" t="s">
        <v>74</v>
      </c>
      <c r="C33" s="59" t="s">
        <v>157</v>
      </c>
      <c r="D33" s="26">
        <v>61514</v>
      </c>
      <c r="E33" s="14">
        <v>99.76</v>
      </c>
      <c r="F33" s="26">
        <v>22000</v>
      </c>
      <c r="G33" s="14">
        <v>97.93</v>
      </c>
      <c r="H33" s="26">
        <v>3904</v>
      </c>
      <c r="I33" s="17">
        <v>17.75</v>
      </c>
      <c r="J33" s="26">
        <v>1903</v>
      </c>
      <c r="K33" s="17">
        <v>30.58</v>
      </c>
      <c r="L33" s="100">
        <v>1531</v>
      </c>
      <c r="M33" s="14">
        <v>15.01</v>
      </c>
      <c r="N33" s="26">
        <v>1781</v>
      </c>
      <c r="O33" s="14">
        <v>5.98</v>
      </c>
      <c r="P33" s="26">
        <v>2521</v>
      </c>
      <c r="Q33" s="14">
        <v>19.600000000000001</v>
      </c>
      <c r="R33" s="26">
        <v>340</v>
      </c>
      <c r="S33" s="14">
        <v>14.9</v>
      </c>
      <c r="T33" s="26">
        <v>68037</v>
      </c>
      <c r="U33" s="14">
        <v>94.99</v>
      </c>
      <c r="V33" s="26">
        <v>1812</v>
      </c>
      <c r="W33" s="14">
        <v>1.26</v>
      </c>
      <c r="X33" s="26"/>
      <c r="Y33" s="14"/>
      <c r="Z33" s="26">
        <v>11937</v>
      </c>
      <c r="AA33" s="14">
        <v>93.4</v>
      </c>
      <c r="AB33" s="26">
        <v>6793</v>
      </c>
      <c r="AC33" s="14">
        <v>94.62</v>
      </c>
      <c r="AD33" s="26">
        <v>26537</v>
      </c>
      <c r="AE33" s="26">
        <v>787</v>
      </c>
      <c r="AF33" s="14">
        <v>2.97</v>
      </c>
      <c r="AG33" s="26">
        <v>36263</v>
      </c>
      <c r="AH33" s="26">
        <v>1058</v>
      </c>
      <c r="AI33" s="14">
        <v>2.92</v>
      </c>
      <c r="AJ33" s="26">
        <v>140410</v>
      </c>
      <c r="AK33" s="26">
        <v>4265</v>
      </c>
      <c r="AL33" s="14">
        <v>3.04</v>
      </c>
      <c r="AM33" s="26">
        <v>1248</v>
      </c>
      <c r="AN33" s="14">
        <v>745</v>
      </c>
      <c r="AO33" s="14">
        <v>59.7</v>
      </c>
      <c r="AP33" s="38">
        <v>27531</v>
      </c>
      <c r="AQ33" s="39">
        <v>11245</v>
      </c>
      <c r="AR33" s="40">
        <v>40.844865787657547</v>
      </c>
      <c r="AS33" s="80">
        <v>5</v>
      </c>
      <c r="AT33" s="96"/>
    </row>
    <row r="34" spans="1:46" ht="15.6" x14ac:dyDescent="0.3">
      <c r="A34" s="25">
        <v>29</v>
      </c>
      <c r="B34" s="14" t="s">
        <v>75</v>
      </c>
      <c r="C34" s="59" t="s">
        <v>158</v>
      </c>
      <c r="D34" s="26">
        <v>79834</v>
      </c>
      <c r="E34" s="14">
        <v>86.93</v>
      </c>
      <c r="F34" s="26">
        <v>46029</v>
      </c>
      <c r="G34" s="14">
        <v>97.41</v>
      </c>
      <c r="H34" s="26">
        <v>3531</v>
      </c>
      <c r="I34" s="17">
        <v>7.67</v>
      </c>
      <c r="J34" s="26">
        <v>1202</v>
      </c>
      <c r="K34" s="17">
        <v>26.77</v>
      </c>
      <c r="L34" s="100">
        <v>983</v>
      </c>
      <c r="M34" s="14">
        <v>12.66</v>
      </c>
      <c r="N34" s="26">
        <v>1851</v>
      </c>
      <c r="O34" s="14">
        <v>5.2</v>
      </c>
      <c r="P34" s="26">
        <v>2502</v>
      </c>
      <c r="Q34" s="14">
        <v>21.24</v>
      </c>
      <c r="R34" s="26">
        <v>626</v>
      </c>
      <c r="S34" s="14">
        <v>27.09</v>
      </c>
      <c r="T34" s="26">
        <v>74086</v>
      </c>
      <c r="U34" s="14">
        <v>89.51</v>
      </c>
      <c r="V34" s="26">
        <v>1008</v>
      </c>
      <c r="W34" s="14">
        <v>1.54</v>
      </c>
      <c r="X34" s="26"/>
      <c r="Y34" s="14"/>
      <c r="Z34" s="26">
        <v>4448</v>
      </c>
      <c r="AA34" s="14">
        <v>92.59</v>
      </c>
      <c r="AB34" s="26">
        <v>949</v>
      </c>
      <c r="AC34" s="14">
        <v>84.28</v>
      </c>
      <c r="AD34" s="26">
        <v>21515</v>
      </c>
      <c r="AE34" s="26">
        <v>1082</v>
      </c>
      <c r="AF34" s="14">
        <v>5.03</v>
      </c>
      <c r="AG34" s="26">
        <v>26180</v>
      </c>
      <c r="AH34" s="26">
        <v>712</v>
      </c>
      <c r="AI34" s="14">
        <v>2.72</v>
      </c>
      <c r="AJ34" s="26">
        <v>120981</v>
      </c>
      <c r="AK34" s="26">
        <v>3350</v>
      </c>
      <c r="AL34" s="14">
        <v>2.77</v>
      </c>
      <c r="AM34" s="26">
        <v>692</v>
      </c>
      <c r="AN34" s="14">
        <v>122</v>
      </c>
      <c r="AO34" s="14">
        <v>17.63</v>
      </c>
      <c r="AP34" s="38">
        <v>33127</v>
      </c>
      <c r="AQ34" s="39">
        <v>14406</v>
      </c>
      <c r="AR34" s="40">
        <v>43.487185679355214</v>
      </c>
      <c r="AS34" s="82">
        <v>4</v>
      </c>
    </row>
    <row r="35" spans="1:46" ht="15.6" x14ac:dyDescent="0.3">
      <c r="A35" s="25">
        <v>30</v>
      </c>
      <c r="B35" s="14" t="s">
        <v>4</v>
      </c>
      <c r="C35" s="59" t="s">
        <v>159</v>
      </c>
      <c r="D35" s="26">
        <v>13059</v>
      </c>
      <c r="E35" s="14">
        <v>97.46</v>
      </c>
      <c r="F35" s="26">
        <v>5567</v>
      </c>
      <c r="G35" s="14">
        <v>98.69</v>
      </c>
      <c r="H35" s="26">
        <v>625</v>
      </c>
      <c r="I35" s="17">
        <v>11.23</v>
      </c>
      <c r="J35" s="26">
        <v>512</v>
      </c>
      <c r="K35" s="17">
        <v>97.52</v>
      </c>
      <c r="L35" s="100">
        <v>93</v>
      </c>
      <c r="M35" s="14">
        <v>10.84</v>
      </c>
      <c r="N35" s="26">
        <v>543</v>
      </c>
      <c r="O35" s="14">
        <v>35.89</v>
      </c>
      <c r="P35" s="26">
        <v>162</v>
      </c>
      <c r="Q35" s="14">
        <v>17.739999999999998</v>
      </c>
      <c r="R35" s="26">
        <v>19</v>
      </c>
      <c r="S35" s="14">
        <v>19</v>
      </c>
      <c r="T35" s="26">
        <v>3197</v>
      </c>
      <c r="U35" s="14">
        <v>97</v>
      </c>
      <c r="V35" s="26">
        <v>690</v>
      </c>
      <c r="W35" s="14">
        <v>8.82</v>
      </c>
      <c r="X35" s="26"/>
      <c r="Y35" s="14"/>
      <c r="Z35" s="26">
        <v>364</v>
      </c>
      <c r="AA35" s="14">
        <v>77.12</v>
      </c>
      <c r="AB35" s="26">
        <v>324</v>
      </c>
      <c r="AC35" s="14">
        <v>91.27</v>
      </c>
      <c r="AD35" s="26">
        <v>668</v>
      </c>
      <c r="AE35" s="26">
        <v>132</v>
      </c>
      <c r="AF35" s="14">
        <v>19.760000000000002</v>
      </c>
      <c r="AG35" s="26">
        <v>1319</v>
      </c>
      <c r="AH35" s="26">
        <v>164</v>
      </c>
      <c r="AI35" s="14">
        <v>12.43</v>
      </c>
      <c r="AJ35" s="26">
        <v>6827</v>
      </c>
      <c r="AK35" s="26">
        <v>573</v>
      </c>
      <c r="AL35" s="14">
        <v>8.39</v>
      </c>
      <c r="AM35" s="26">
        <v>2</v>
      </c>
      <c r="AN35" s="14">
        <v>1</v>
      </c>
      <c r="AO35" s="14">
        <v>50</v>
      </c>
      <c r="AP35" s="38">
        <v>1390</v>
      </c>
      <c r="AQ35" s="39">
        <v>585</v>
      </c>
      <c r="AR35" s="40">
        <v>42.086330935251794</v>
      </c>
      <c r="AS35" s="80">
        <v>6</v>
      </c>
    </row>
    <row r="36" spans="1:46" ht="15.6" x14ac:dyDescent="0.3">
      <c r="A36" s="25">
        <v>31</v>
      </c>
      <c r="B36" s="14" t="s">
        <v>5</v>
      </c>
      <c r="C36" s="59" t="s">
        <v>160</v>
      </c>
      <c r="D36" s="26">
        <v>41904</v>
      </c>
      <c r="E36" s="14">
        <v>97.69</v>
      </c>
      <c r="F36" s="26">
        <v>6289</v>
      </c>
      <c r="G36" s="14">
        <v>40.9</v>
      </c>
      <c r="H36" s="26">
        <v>864</v>
      </c>
      <c r="I36" s="17">
        <v>13.74</v>
      </c>
      <c r="J36" s="26">
        <v>27</v>
      </c>
      <c r="K36" s="17">
        <v>13.11</v>
      </c>
      <c r="L36" s="100">
        <v>108</v>
      </c>
      <c r="M36" s="14">
        <v>21.73</v>
      </c>
      <c r="N36" s="26">
        <v>83</v>
      </c>
      <c r="O36" s="14">
        <v>1.08</v>
      </c>
      <c r="P36" s="26">
        <v>96</v>
      </c>
      <c r="Q36" s="14">
        <v>9.8000000000000007</v>
      </c>
      <c r="R36" s="26">
        <v>291</v>
      </c>
      <c r="S36" s="27">
        <v>91.51</v>
      </c>
      <c r="T36" s="26">
        <v>16328</v>
      </c>
      <c r="U36" s="14">
        <v>98.99</v>
      </c>
      <c r="V36" s="26">
        <v>7680</v>
      </c>
      <c r="W36" s="14">
        <v>16.66</v>
      </c>
      <c r="X36" s="26"/>
      <c r="Y36" s="14"/>
      <c r="Z36" s="26">
        <v>1831</v>
      </c>
      <c r="AA36" s="14">
        <v>91.92</v>
      </c>
      <c r="AB36" s="26">
        <v>2528</v>
      </c>
      <c r="AC36" s="14">
        <v>98.29</v>
      </c>
      <c r="AD36" s="26">
        <v>4739</v>
      </c>
      <c r="AE36" s="26">
        <v>1061</v>
      </c>
      <c r="AF36" s="14">
        <v>22.39</v>
      </c>
      <c r="AG36" s="26">
        <v>8735</v>
      </c>
      <c r="AH36" s="26">
        <v>1389</v>
      </c>
      <c r="AI36" s="14">
        <v>15.9</v>
      </c>
      <c r="AJ36" s="26">
        <v>40703</v>
      </c>
      <c r="AK36" s="26">
        <v>6405</v>
      </c>
      <c r="AL36" s="14">
        <v>15.74</v>
      </c>
      <c r="AM36" s="26">
        <v>1</v>
      </c>
      <c r="AN36" s="14">
        <v>1</v>
      </c>
      <c r="AO36" s="14">
        <v>100</v>
      </c>
      <c r="AP36" s="38">
        <v>7039</v>
      </c>
      <c r="AQ36" s="39">
        <v>3445</v>
      </c>
      <c r="AR36" s="40">
        <v>48.941611024293223</v>
      </c>
      <c r="AS36" s="80">
        <v>6</v>
      </c>
    </row>
    <row r="37" spans="1:46" ht="15.6" x14ac:dyDescent="0.3">
      <c r="A37" s="25">
        <v>32</v>
      </c>
      <c r="B37" s="14" t="s">
        <v>6</v>
      </c>
      <c r="C37" s="59" t="s">
        <v>161</v>
      </c>
      <c r="D37" s="26">
        <v>13640</v>
      </c>
      <c r="E37" s="14">
        <v>99.72</v>
      </c>
      <c r="F37" s="26">
        <v>4767</v>
      </c>
      <c r="G37" s="14">
        <v>98.27</v>
      </c>
      <c r="H37" s="26">
        <v>569</v>
      </c>
      <c r="I37" s="17">
        <v>11.94</v>
      </c>
      <c r="J37" s="26">
        <v>93</v>
      </c>
      <c r="K37" s="17">
        <v>25.98</v>
      </c>
      <c r="L37" s="100">
        <v>70</v>
      </c>
      <c r="M37" s="14">
        <v>8.41</v>
      </c>
      <c r="N37" s="26">
        <v>280</v>
      </c>
      <c r="O37" s="14">
        <v>8.3000000000000007</v>
      </c>
      <c r="P37" s="26">
        <v>244</v>
      </c>
      <c r="Q37" s="14">
        <v>20.61</v>
      </c>
      <c r="R37" s="26">
        <v>0</v>
      </c>
      <c r="S37" s="14">
        <v>0</v>
      </c>
      <c r="T37" s="26">
        <v>5548</v>
      </c>
      <c r="U37" s="14">
        <v>94.92</v>
      </c>
      <c r="V37" s="26">
        <v>6013</v>
      </c>
      <c r="W37" s="14">
        <v>27.27</v>
      </c>
      <c r="X37" s="26"/>
      <c r="Y37" s="14"/>
      <c r="Z37" s="26">
        <v>826</v>
      </c>
      <c r="AA37" s="14">
        <v>76.55</v>
      </c>
      <c r="AB37" s="26">
        <v>513</v>
      </c>
      <c r="AC37" s="14">
        <v>99.03</v>
      </c>
      <c r="AD37" s="26">
        <v>649</v>
      </c>
      <c r="AE37" s="26">
        <v>98</v>
      </c>
      <c r="AF37" s="14">
        <v>15.1</v>
      </c>
      <c r="AG37" s="26">
        <v>1559</v>
      </c>
      <c r="AH37" s="26">
        <v>284</v>
      </c>
      <c r="AI37" s="14">
        <v>18.22</v>
      </c>
      <c r="AJ37" s="26">
        <v>10463</v>
      </c>
      <c r="AK37" s="26">
        <v>1000</v>
      </c>
      <c r="AL37" s="14">
        <v>9.56</v>
      </c>
      <c r="AM37" s="26">
        <v>6</v>
      </c>
      <c r="AN37" s="14">
        <v>5</v>
      </c>
      <c r="AO37" s="14">
        <v>83.33</v>
      </c>
      <c r="AP37" s="38">
        <v>3125</v>
      </c>
      <c r="AQ37" s="39">
        <v>2083</v>
      </c>
      <c r="AR37" s="40">
        <v>66.656000000000006</v>
      </c>
      <c r="AS37" s="80">
        <v>6</v>
      </c>
    </row>
    <row r="38" spans="1:46" ht="15.6" x14ac:dyDescent="0.3">
      <c r="A38" s="25">
        <v>33</v>
      </c>
      <c r="B38" s="14" t="s">
        <v>7</v>
      </c>
      <c r="C38" s="59" t="s">
        <v>162</v>
      </c>
      <c r="D38" s="26">
        <v>72961</v>
      </c>
      <c r="E38" s="14">
        <v>98.83</v>
      </c>
      <c r="F38" s="26">
        <v>30417</v>
      </c>
      <c r="G38" s="14">
        <v>94.66</v>
      </c>
      <c r="H38" s="26">
        <v>2210</v>
      </c>
      <c r="I38" s="17">
        <v>7.27</v>
      </c>
      <c r="J38" s="26">
        <v>268</v>
      </c>
      <c r="K38" s="17">
        <v>14.33</v>
      </c>
      <c r="L38" s="100">
        <v>188</v>
      </c>
      <c r="M38" s="14">
        <v>2.95</v>
      </c>
      <c r="N38" s="26">
        <v>1508</v>
      </c>
      <c r="O38" s="14">
        <v>6.02</v>
      </c>
      <c r="P38" s="26">
        <v>1199</v>
      </c>
      <c r="Q38" s="14">
        <v>13.18</v>
      </c>
      <c r="R38" s="26">
        <v>72</v>
      </c>
      <c r="S38" s="14">
        <v>7.72</v>
      </c>
      <c r="T38" s="26">
        <v>55456</v>
      </c>
      <c r="U38" s="14">
        <v>89.34</v>
      </c>
      <c r="V38" s="26">
        <v>15488</v>
      </c>
      <c r="W38" s="14">
        <v>10.38</v>
      </c>
      <c r="X38" s="26"/>
      <c r="Y38" s="14"/>
      <c r="Z38" s="26">
        <v>11478</v>
      </c>
      <c r="AA38" s="14">
        <v>96.89</v>
      </c>
      <c r="AB38" s="26">
        <v>7916</v>
      </c>
      <c r="AC38" s="14">
        <v>98.81</v>
      </c>
      <c r="AD38" s="26">
        <v>7128</v>
      </c>
      <c r="AE38" s="26">
        <v>2467</v>
      </c>
      <c r="AF38" s="14">
        <v>34.61</v>
      </c>
      <c r="AG38" s="26">
        <v>10192</v>
      </c>
      <c r="AH38" s="26">
        <v>3402</v>
      </c>
      <c r="AI38" s="14">
        <v>33.380000000000003</v>
      </c>
      <c r="AJ38" s="26">
        <v>49683</v>
      </c>
      <c r="AK38" s="26">
        <v>6169</v>
      </c>
      <c r="AL38" s="14">
        <v>12.42</v>
      </c>
      <c r="AM38" s="26">
        <v>618</v>
      </c>
      <c r="AN38" s="14">
        <v>633</v>
      </c>
      <c r="AO38" s="14">
        <v>102.43</v>
      </c>
      <c r="AP38" s="38">
        <v>22853</v>
      </c>
      <c r="AQ38" s="39">
        <v>16151</v>
      </c>
      <c r="AR38" s="40">
        <v>70.673434560014002</v>
      </c>
      <c r="AS38" s="136">
        <v>6</v>
      </c>
    </row>
    <row r="39" spans="1:46" ht="15.6" x14ac:dyDescent="0.3">
      <c r="A39" s="25">
        <v>34</v>
      </c>
      <c r="B39" s="14" t="s">
        <v>8</v>
      </c>
      <c r="C39" s="59" t="s">
        <v>139</v>
      </c>
      <c r="D39" s="26">
        <v>16839</v>
      </c>
      <c r="E39" s="14">
        <v>99.01</v>
      </c>
      <c r="F39" s="26">
        <v>5261</v>
      </c>
      <c r="G39" s="14">
        <v>99.4</v>
      </c>
      <c r="H39" s="26">
        <v>1167</v>
      </c>
      <c r="I39" s="17">
        <v>22.18</v>
      </c>
      <c r="J39" s="26">
        <v>1142</v>
      </c>
      <c r="K39" s="17">
        <v>70.98</v>
      </c>
      <c r="L39" s="100">
        <v>564</v>
      </c>
      <c r="M39" s="14">
        <v>16.829999999999998</v>
      </c>
      <c r="N39" s="26">
        <v>2357</v>
      </c>
      <c r="O39" s="14">
        <v>40.07</v>
      </c>
      <c r="P39" s="26">
        <v>714</v>
      </c>
      <c r="Q39" s="14">
        <v>19.170000000000002</v>
      </c>
      <c r="R39" s="26">
        <v>288</v>
      </c>
      <c r="S39" s="14">
        <v>44.31</v>
      </c>
      <c r="T39" s="26">
        <v>13103</v>
      </c>
      <c r="U39" s="14">
        <v>95.06</v>
      </c>
      <c r="V39" s="26">
        <v>9995</v>
      </c>
      <c r="W39" s="14">
        <v>73.849999999999994</v>
      </c>
      <c r="X39" s="26"/>
      <c r="Y39" s="14"/>
      <c r="Z39" s="26">
        <v>2364</v>
      </c>
      <c r="AA39" s="14">
        <v>94.45</v>
      </c>
      <c r="AB39" s="26">
        <v>1522</v>
      </c>
      <c r="AC39" s="14">
        <v>95.96</v>
      </c>
      <c r="AD39" s="26">
        <v>7181</v>
      </c>
      <c r="AE39" s="26">
        <v>351</v>
      </c>
      <c r="AF39" s="14">
        <v>4.8899999999999997</v>
      </c>
      <c r="AG39" s="26">
        <v>7582</v>
      </c>
      <c r="AH39" s="26">
        <v>327</v>
      </c>
      <c r="AI39" s="14">
        <v>4.3099999999999996</v>
      </c>
      <c r="AJ39" s="26">
        <v>33633</v>
      </c>
      <c r="AK39" s="26">
        <v>454</v>
      </c>
      <c r="AL39" s="14">
        <v>1.35</v>
      </c>
      <c r="AM39" s="26">
        <v>127</v>
      </c>
      <c r="AN39" s="14">
        <v>106</v>
      </c>
      <c r="AO39" s="14">
        <v>83.46</v>
      </c>
      <c r="AP39" s="38">
        <v>5363</v>
      </c>
      <c r="AQ39" s="39">
        <v>2425</v>
      </c>
      <c r="AR39" s="40">
        <v>45.217229162782026</v>
      </c>
      <c r="AS39" s="87">
        <v>8</v>
      </c>
    </row>
    <row r="40" spans="1:46" ht="15.6" x14ac:dyDescent="0.3">
      <c r="A40" s="25">
        <v>35</v>
      </c>
      <c r="B40" s="14" t="s">
        <v>9</v>
      </c>
      <c r="C40" s="59" t="s">
        <v>136</v>
      </c>
      <c r="D40" s="26">
        <v>12156</v>
      </c>
      <c r="E40" s="14">
        <v>97.96</v>
      </c>
      <c r="F40" s="26">
        <v>5375</v>
      </c>
      <c r="G40" s="14">
        <v>98.39</v>
      </c>
      <c r="H40" s="26">
        <v>1401</v>
      </c>
      <c r="I40" s="17">
        <v>26.07</v>
      </c>
      <c r="J40" s="26">
        <v>101</v>
      </c>
      <c r="K40" s="17">
        <v>10.07</v>
      </c>
      <c r="L40" s="100">
        <v>352</v>
      </c>
      <c r="M40" s="14">
        <v>21.99</v>
      </c>
      <c r="N40" s="26">
        <v>176</v>
      </c>
      <c r="O40" s="14">
        <v>3.55</v>
      </c>
      <c r="P40" s="26">
        <v>480</v>
      </c>
      <c r="Q40" s="14">
        <v>21.82</v>
      </c>
      <c r="R40" s="26">
        <v>33</v>
      </c>
      <c r="S40" s="14">
        <v>9.2200000000000006</v>
      </c>
      <c r="T40" s="26">
        <v>7657</v>
      </c>
      <c r="U40" s="14">
        <v>98.41</v>
      </c>
      <c r="V40" s="26">
        <v>277</v>
      </c>
      <c r="W40" s="14">
        <v>4.71</v>
      </c>
      <c r="X40" s="26"/>
      <c r="Y40" s="14"/>
      <c r="Z40" s="26">
        <v>812</v>
      </c>
      <c r="AA40" s="14">
        <v>92.17</v>
      </c>
      <c r="AB40" s="26">
        <v>845</v>
      </c>
      <c r="AC40" s="14">
        <v>96.68</v>
      </c>
      <c r="AD40" s="26">
        <v>1648</v>
      </c>
      <c r="AE40" s="26">
        <v>4</v>
      </c>
      <c r="AF40" s="14">
        <v>0.24</v>
      </c>
      <c r="AG40" s="26">
        <v>2084</v>
      </c>
      <c r="AH40" s="26">
        <v>30</v>
      </c>
      <c r="AI40" s="14">
        <v>1.44</v>
      </c>
      <c r="AJ40" s="26">
        <v>7328</v>
      </c>
      <c r="AK40" s="26">
        <v>211</v>
      </c>
      <c r="AL40" s="14">
        <v>2.88</v>
      </c>
      <c r="AM40" s="26">
        <v>40</v>
      </c>
      <c r="AN40" s="14">
        <v>2</v>
      </c>
      <c r="AO40" s="14">
        <v>5</v>
      </c>
      <c r="AP40" s="38">
        <v>4618</v>
      </c>
      <c r="AQ40" s="39">
        <v>3054</v>
      </c>
      <c r="AR40" s="40">
        <v>66.132524902555218</v>
      </c>
      <c r="AS40" s="80">
        <v>5</v>
      </c>
    </row>
    <row r="41" spans="1:46" s="16" customFormat="1" ht="20.55" customHeight="1" x14ac:dyDescent="0.3">
      <c r="A41" s="15"/>
      <c r="B41" s="15" t="s">
        <v>47</v>
      </c>
      <c r="C41" s="60" t="s">
        <v>163</v>
      </c>
      <c r="D41" s="28">
        <v>1483925</v>
      </c>
      <c r="E41" s="15">
        <v>93.64</v>
      </c>
      <c r="F41" s="28">
        <v>579995</v>
      </c>
      <c r="G41" s="15">
        <v>93.76</v>
      </c>
      <c r="H41" s="28">
        <v>88202</v>
      </c>
      <c r="I41" s="18">
        <v>15.21</v>
      </c>
      <c r="J41" s="28">
        <v>49129</v>
      </c>
      <c r="K41" s="18">
        <v>39.64</v>
      </c>
      <c r="L41" s="100">
        <v>22512</v>
      </c>
      <c r="M41" s="14">
        <v>11.16</v>
      </c>
      <c r="N41" s="28">
        <v>64599</v>
      </c>
      <c r="O41" s="15">
        <v>10.9</v>
      </c>
      <c r="P41" s="28">
        <v>55144</v>
      </c>
      <c r="Q41" s="15">
        <v>19.940000000000001</v>
      </c>
      <c r="R41" s="28">
        <v>7750</v>
      </c>
      <c r="S41" s="15">
        <v>26.44</v>
      </c>
      <c r="T41" s="28">
        <v>1462055</v>
      </c>
      <c r="U41" s="15">
        <v>96.13</v>
      </c>
      <c r="V41" s="28">
        <v>312523</v>
      </c>
      <c r="W41" s="15">
        <v>11.73</v>
      </c>
      <c r="X41" s="28"/>
      <c r="Y41" s="15"/>
      <c r="Z41" s="28">
        <v>179652</v>
      </c>
      <c r="AA41" s="15">
        <v>89.77</v>
      </c>
      <c r="AB41" s="28">
        <v>141953</v>
      </c>
      <c r="AC41" s="15">
        <v>95.31</v>
      </c>
      <c r="AD41" s="28">
        <v>334648</v>
      </c>
      <c r="AE41" s="28">
        <v>27677</v>
      </c>
      <c r="AF41" s="15">
        <v>8.27</v>
      </c>
      <c r="AG41" s="28">
        <v>485088</v>
      </c>
      <c r="AH41" s="28">
        <v>30651</v>
      </c>
      <c r="AI41" s="15">
        <v>6.32</v>
      </c>
      <c r="AJ41" s="28">
        <v>2381579</v>
      </c>
      <c r="AK41" s="28">
        <v>80218</v>
      </c>
      <c r="AL41" s="15">
        <v>3.37</v>
      </c>
      <c r="AM41" s="28">
        <v>10481</v>
      </c>
      <c r="AN41" s="15">
        <v>4036</v>
      </c>
      <c r="AO41" s="15">
        <v>38.51</v>
      </c>
      <c r="AP41" s="41">
        <v>547843</v>
      </c>
      <c r="AQ41" s="42">
        <v>250212</v>
      </c>
      <c r="AR41" s="43">
        <v>45.672209008785366</v>
      </c>
      <c r="AS41" s="81">
        <v>5</v>
      </c>
    </row>
    <row r="42" spans="1:46" s="16" customFormat="1" ht="25.95" customHeight="1" x14ac:dyDescent="0.3">
      <c r="B42" s="62" t="s">
        <v>91</v>
      </c>
      <c r="C42" s="62"/>
      <c r="D42" s="156">
        <v>67</v>
      </c>
      <c r="E42" s="156"/>
      <c r="F42" s="156">
        <v>77</v>
      </c>
      <c r="G42" s="156"/>
      <c r="H42" s="157" t="s">
        <v>118</v>
      </c>
      <c r="I42" s="158"/>
      <c r="J42" s="150" t="s">
        <v>1821</v>
      </c>
      <c r="K42" s="151"/>
      <c r="L42" s="157" t="s">
        <v>100</v>
      </c>
      <c r="M42" s="158"/>
      <c r="N42" s="152" t="s">
        <v>741</v>
      </c>
      <c r="O42" s="152"/>
      <c r="P42" s="157" t="s">
        <v>101</v>
      </c>
      <c r="Q42" s="158"/>
      <c r="R42" s="150">
        <v>85</v>
      </c>
      <c r="S42" s="151"/>
      <c r="T42" s="160">
        <v>90</v>
      </c>
      <c r="U42" s="160"/>
      <c r="V42" s="160">
        <v>55</v>
      </c>
      <c r="W42" s="160"/>
      <c r="X42" s="159">
        <v>55</v>
      </c>
      <c r="Y42" s="159"/>
      <c r="Z42" s="156">
        <v>76</v>
      </c>
      <c r="AA42" s="156"/>
      <c r="AB42" s="156">
        <v>76</v>
      </c>
      <c r="AC42" s="156"/>
      <c r="AD42" s="62"/>
      <c r="AE42" s="150">
        <v>70</v>
      </c>
      <c r="AF42" s="151"/>
      <c r="AG42" s="62"/>
      <c r="AH42" s="150">
        <v>70</v>
      </c>
      <c r="AI42" s="151"/>
      <c r="AJ42" s="62"/>
      <c r="AK42" s="150">
        <v>70</v>
      </c>
      <c r="AL42" s="151"/>
      <c r="AM42" s="62"/>
      <c r="AN42" s="150">
        <v>92</v>
      </c>
      <c r="AO42" s="151"/>
      <c r="AP42" s="62"/>
      <c r="AQ42" s="161" t="s">
        <v>1822</v>
      </c>
      <c r="AR42" s="162"/>
      <c r="AS42" s="63"/>
    </row>
  </sheetData>
  <mergeCells count="23">
    <mergeCell ref="AE42:AF42"/>
    <mergeCell ref="AH42:AI42"/>
    <mergeCell ref="AK42:AL42"/>
    <mergeCell ref="AN42:AO42"/>
    <mergeCell ref="AQ42:AR42"/>
    <mergeCell ref="X42:Y42"/>
    <mergeCell ref="Z42:AA42"/>
    <mergeCell ref="AB42:AC42"/>
    <mergeCell ref="T42:U42"/>
    <mergeCell ref="V42:W42"/>
    <mergeCell ref="R42:S42"/>
    <mergeCell ref="J42:K42"/>
    <mergeCell ref="N42:O42"/>
    <mergeCell ref="A2:I2"/>
    <mergeCell ref="A1:I1"/>
    <mergeCell ref="D3:E3"/>
    <mergeCell ref="F3:G3"/>
    <mergeCell ref="H3:I3"/>
    <mergeCell ref="D42:E42"/>
    <mergeCell ref="F42:G42"/>
    <mergeCell ref="H42:I42"/>
    <mergeCell ref="P42:Q42"/>
    <mergeCell ref="L42:M42"/>
  </mergeCells>
  <conditionalFormatting sqref="E6:E41">
    <cfRule type="cellIs" dxfId="101" priority="40" operator="lessThan">
      <formula>67</formula>
    </cfRule>
    <cfRule type="cellIs" dxfId="100" priority="41" operator="greaterThan">
      <formula>67</formula>
    </cfRule>
    <cfRule type="cellIs" dxfId="99" priority="91" operator="greaterThan">
      <formula>100.1</formula>
    </cfRule>
    <cfRule type="cellIs" dxfId="98" priority="92" operator="lessThan">
      <formula>67</formula>
    </cfRule>
    <cfRule type="cellIs" dxfId="97" priority="93" operator="greaterThan">
      <formula>67</formula>
    </cfRule>
  </conditionalFormatting>
  <conditionalFormatting sqref="G6:G41">
    <cfRule type="cellIs" dxfId="96" priority="37" operator="greaterThan">
      <formula>100.1</formula>
    </cfRule>
    <cfRule type="cellIs" dxfId="95" priority="38" operator="lessThan">
      <formula>77</formula>
    </cfRule>
    <cfRule type="cellIs" dxfId="94" priority="39" operator="greaterThan">
      <formula>77</formula>
    </cfRule>
    <cfRule type="cellIs" dxfId="93" priority="88" operator="lessThan">
      <formula>77</formula>
    </cfRule>
    <cfRule type="cellIs" dxfId="92" priority="89" operator="between">
      <formula>77</formula>
      <formula>100</formula>
    </cfRule>
    <cfRule type="cellIs" dxfId="91" priority="90" operator="greaterThan">
      <formula>100.1</formula>
    </cfRule>
  </conditionalFormatting>
  <conditionalFormatting sqref="I6:I41">
    <cfRule type="cellIs" dxfId="90" priority="14" operator="lessThan">
      <formula>23</formula>
    </cfRule>
  </conditionalFormatting>
  <conditionalFormatting sqref="K6:K41 I6:I41">
    <cfRule type="cellIs" dxfId="89" priority="86" operator="greaterThan">
      <formula>23</formula>
    </cfRule>
    <cfRule type="cellIs" dxfId="88" priority="87" operator="lessThan">
      <formula>23</formula>
    </cfRule>
  </conditionalFormatting>
  <conditionalFormatting sqref="K6:K41">
    <cfRule type="cellIs" dxfId="87" priority="9" operator="greaterThan">
      <formula>100.1</formula>
    </cfRule>
    <cfRule type="cellIs" dxfId="86" priority="10" operator="greaterThan">
      <formula>60</formula>
    </cfRule>
    <cfRule type="cellIs" dxfId="85" priority="35" operator="lessThan">
      <formula>40</formula>
    </cfRule>
    <cfRule type="cellIs" dxfId="84" priority="36" operator="greaterThan">
      <formula>40</formula>
    </cfRule>
    <cfRule type="cellIs" dxfId="83" priority="54" operator="greaterThan">
      <formula>100.1</formula>
    </cfRule>
    <cfRule type="cellIs" dxfId="82" priority="55" operator="lessThan">
      <formula>40</formula>
    </cfRule>
    <cfRule type="cellIs" dxfId="81" priority="56" operator="greaterThan">
      <formula>40</formula>
    </cfRule>
  </conditionalFormatting>
  <conditionalFormatting sqref="M6:M41">
    <cfRule type="cellIs" dxfId="80" priority="12" operator="greaterThan">
      <formula>25</formula>
    </cfRule>
    <cfRule type="cellIs" dxfId="79" priority="13" operator="lessThan">
      <formula>25</formula>
    </cfRule>
    <cfRule type="cellIs" dxfId="78" priority="46" operator="lessThan">
      <formula>25</formula>
    </cfRule>
    <cfRule type="cellIs" dxfId="77" priority="47" operator="greaterThan">
      <formula>11</formula>
    </cfRule>
    <cfRule type="cellIs" dxfId="76" priority="48" operator="lessThan">
      <formula>11</formula>
    </cfRule>
  </conditionalFormatting>
  <conditionalFormatting sqref="O6:O41">
    <cfRule type="cellIs" dxfId="75" priority="1" operator="lessThan">
      <formula>39</formula>
    </cfRule>
    <cfRule type="cellIs" dxfId="74" priority="2" operator="greaterThan">
      <formula>39</formula>
    </cfRule>
  </conditionalFormatting>
  <conditionalFormatting sqref="Q6:Q41">
    <cfRule type="cellIs" dxfId="73" priority="15" operator="lessThan">
      <formula>13</formula>
    </cfRule>
    <cfRule type="cellIs" dxfId="72" priority="16" operator="greaterThan">
      <formula>13</formula>
    </cfRule>
    <cfRule type="cellIs" dxfId="71" priority="49" operator="lessThan">
      <formula>13</formula>
    </cfRule>
    <cfRule type="cellIs" dxfId="70" priority="50" operator="lessThan">
      <formula>13</formula>
    </cfRule>
    <cfRule type="cellIs" dxfId="69" priority="51" operator="greaterThan">
      <formula>13</formula>
    </cfRule>
    <cfRule type="cellIs" dxfId="68" priority="52" operator="greaterThan">
      <formula>25</formula>
    </cfRule>
    <cfRule type="cellIs" dxfId="67" priority="53" operator="lessThan">
      <formula>25</formula>
    </cfRule>
  </conditionalFormatting>
  <conditionalFormatting sqref="S6:S41">
    <cfRule type="cellIs" dxfId="66" priority="17" operator="greaterThan">
      <formula>100.1</formula>
    </cfRule>
    <cfRule type="cellIs" dxfId="65" priority="18" operator="lessThan">
      <formula>85</formula>
    </cfRule>
    <cfRule type="cellIs" dxfId="64" priority="19" operator="greaterThan">
      <formula>85</formula>
    </cfRule>
    <cfRule type="cellIs" dxfId="63" priority="42" operator="greaterThan">
      <formula>100.1</formula>
    </cfRule>
    <cfRule type="cellIs" dxfId="62" priority="82" operator="lessThan">
      <formula>85</formula>
    </cfRule>
    <cfRule type="cellIs" dxfId="61" priority="83" operator="greaterThan">
      <formula>85</formula>
    </cfRule>
  </conditionalFormatting>
  <conditionalFormatting sqref="U6:U41">
    <cfRule type="cellIs" dxfId="60" priority="31" operator="lessThan">
      <formula>90</formula>
    </cfRule>
    <cfRule type="cellIs" dxfId="59" priority="32" operator="greaterThan">
      <formula>90</formula>
    </cfRule>
    <cfRule type="cellIs" dxfId="58" priority="77" operator="lessThan">
      <formula>90</formula>
    </cfRule>
    <cfRule type="cellIs" dxfId="57" priority="78" operator="greaterThan">
      <formula>90</formula>
    </cfRule>
  </conditionalFormatting>
  <conditionalFormatting sqref="W6:W41">
    <cfRule type="cellIs" dxfId="56" priority="29" operator="lessThan">
      <formula>55</formula>
    </cfRule>
    <cfRule type="cellIs" dxfId="55" priority="30" operator="greaterThan">
      <formula>55</formula>
    </cfRule>
    <cfRule type="cellIs" dxfId="54" priority="75" operator="lessThan">
      <formula>55</formula>
    </cfRule>
    <cfRule type="cellIs" dxfId="53" priority="76" operator="greaterThan">
      <formula>55</formula>
    </cfRule>
  </conditionalFormatting>
  <conditionalFormatting sqref="Y6:Y41">
    <cfRule type="cellIs" dxfId="52" priority="73" operator="lessThan">
      <formula>55</formula>
    </cfRule>
    <cfRule type="cellIs" dxfId="51" priority="74" operator="greaterThan">
      <formula>55</formula>
    </cfRule>
  </conditionalFormatting>
  <conditionalFormatting sqref="AA6:AA41">
    <cfRule type="cellIs" dxfId="50" priority="6" operator="lessThan">
      <formula>76</formula>
    </cfRule>
    <cfRule type="cellIs" dxfId="49" priority="7" operator="greaterThan">
      <formula>76</formula>
    </cfRule>
  </conditionalFormatting>
  <conditionalFormatting sqref="AC6:AC41">
    <cfRule type="cellIs" dxfId="48" priority="27" operator="greaterThan">
      <formula>76</formula>
    </cfRule>
    <cfRule type="cellIs" dxfId="47" priority="70" operator="greaterThan">
      <formula>76</formula>
    </cfRule>
  </conditionalFormatting>
  <conditionalFormatting sqref="AF6:AF41">
    <cfRule type="cellIs" dxfId="46" priority="26" operator="lessThan">
      <formula>70</formula>
    </cfRule>
    <cfRule type="cellIs" dxfId="45" priority="65" operator="lessThan">
      <formula>70</formula>
    </cfRule>
  </conditionalFormatting>
  <conditionalFormatting sqref="AI6:AI41">
    <cfRule type="cellIs" dxfId="44" priority="25" operator="lessThan">
      <formula>70</formula>
    </cfRule>
    <cfRule type="cellIs" dxfId="43" priority="64" operator="lessThan">
      <formula>70</formula>
    </cfRule>
  </conditionalFormatting>
  <conditionalFormatting sqref="AL6:AL41">
    <cfRule type="cellIs" dxfId="42" priority="24" operator="lessThan">
      <formula>70</formula>
    </cfRule>
    <cfRule type="cellIs" dxfId="41" priority="63" operator="lessThan">
      <formula>70</formula>
    </cfRule>
  </conditionalFormatting>
  <conditionalFormatting sqref="AO6:AO41">
    <cfRule type="cellIs" dxfId="40" priority="22" operator="greaterThan">
      <formula>92</formula>
    </cfRule>
    <cfRule type="cellIs" dxfId="39" priority="23" operator="lessThan">
      <formula>92</formula>
    </cfRule>
    <cfRule type="cellIs" dxfId="38" priority="44" operator="lessThan">
      <formula>92</formula>
    </cfRule>
    <cfRule type="cellIs" dxfId="37" priority="45" operator="greaterThan">
      <formula>92</formula>
    </cfRule>
  </conditionalFormatting>
  <conditionalFormatting sqref="AR6:AR41">
    <cfRule type="cellIs" dxfId="36" priority="3" operator="lessThan">
      <formula>56.25</formula>
    </cfRule>
    <cfRule type="cellIs" dxfId="35" priority="4" operator="greaterThan">
      <formula>56.25</formula>
    </cfRule>
  </conditionalFormatting>
  <pageMargins left="0.75" right="0.75" top="1" bottom="1" header="0.5" footer="0.5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4:R19"/>
  <sheetViews>
    <sheetView topLeftCell="B7" zoomScale="69" zoomScaleNormal="69" workbookViewId="0">
      <selection activeCell="T18" sqref="T18"/>
    </sheetView>
  </sheetViews>
  <sheetFormatPr defaultColWidth="8.77734375" defaultRowHeight="17.399999999999999" x14ac:dyDescent="0.3"/>
  <cols>
    <col min="1" max="1" width="8.77734375" style="7"/>
    <col min="2" max="2" width="26.77734375" style="3" customWidth="1"/>
    <col min="3" max="3" width="8.77734375" style="6"/>
    <col min="4" max="5" width="8.77734375" style="7" hidden="1" customWidth="1"/>
    <col min="6" max="6" width="45" style="7" customWidth="1"/>
    <col min="7" max="7" width="13.33203125" style="7" customWidth="1"/>
    <col min="8" max="8" width="16.6640625" style="7" customWidth="1"/>
    <col min="9" max="9" width="14.5546875" style="7" customWidth="1"/>
    <col min="10" max="11" width="12.88671875" style="7" customWidth="1"/>
    <col min="12" max="12" width="14.5546875" style="33" customWidth="1"/>
    <col min="13" max="13" width="15.21875" style="7" customWidth="1"/>
    <col min="14" max="14" width="12.5546875" style="7" hidden="1" customWidth="1"/>
    <col min="15" max="15" width="13" style="7" hidden="1" customWidth="1"/>
    <col min="16" max="16" width="12.88671875" style="7" hidden="1" customWidth="1"/>
    <col min="17" max="17" width="14.77734375" style="7" customWidth="1"/>
    <col min="18" max="16384" width="8.77734375" style="7"/>
  </cols>
  <sheetData>
    <row r="4" spans="2:18" s="2" customFormat="1" ht="43.05" customHeight="1" thickBot="1" x14ac:dyDescent="0.35">
      <c r="C4" s="13" t="s">
        <v>1</v>
      </c>
      <c r="F4" s="12" t="s">
        <v>28</v>
      </c>
      <c r="G4" s="12" t="s">
        <v>45</v>
      </c>
      <c r="H4" s="12" t="s">
        <v>46</v>
      </c>
      <c r="I4" s="12" t="s">
        <v>38</v>
      </c>
      <c r="J4" s="31" t="s">
        <v>92</v>
      </c>
      <c r="K4" s="12" t="s">
        <v>23</v>
      </c>
      <c r="L4" s="31" t="s">
        <v>92</v>
      </c>
      <c r="M4" s="12" t="s">
        <v>25</v>
      </c>
      <c r="N4" s="12" t="s">
        <v>25</v>
      </c>
      <c r="O4" s="12" t="s">
        <v>26</v>
      </c>
      <c r="P4" s="12" t="s">
        <v>27</v>
      </c>
      <c r="Q4" s="13" t="s">
        <v>24</v>
      </c>
    </row>
    <row r="5" spans="2:18" ht="34.950000000000003" customHeight="1" thickBot="1" x14ac:dyDescent="0.3">
      <c r="B5" s="208" t="s">
        <v>35</v>
      </c>
      <c r="C5" s="6">
        <v>1</v>
      </c>
      <c r="F5" s="8" t="s">
        <v>10</v>
      </c>
      <c r="G5" s="9">
        <v>0.75</v>
      </c>
      <c r="H5" s="90">
        <v>90.58</v>
      </c>
      <c r="I5" s="9">
        <v>0.77</v>
      </c>
      <c r="J5" s="32">
        <v>441539</v>
      </c>
      <c r="K5" s="92">
        <v>84.094016996347037</v>
      </c>
      <c r="L5" s="32">
        <f>'rekap indikator 01102026'!F41</f>
        <v>579995</v>
      </c>
      <c r="M5" s="93">
        <f>'rekap indikator 01102026'!G41</f>
        <v>93.76</v>
      </c>
      <c r="N5" s="5"/>
      <c r="O5" s="5"/>
      <c r="P5" s="10"/>
      <c r="Q5" s="19" t="s">
        <v>11</v>
      </c>
      <c r="R5" s="1"/>
    </row>
    <row r="6" spans="2:18" ht="34.950000000000003" customHeight="1" thickBot="1" x14ac:dyDescent="0.3">
      <c r="B6" s="208"/>
      <c r="C6" s="6">
        <v>2</v>
      </c>
      <c r="F6" s="8" t="s">
        <v>12</v>
      </c>
      <c r="G6" s="9">
        <v>0.65</v>
      </c>
      <c r="H6" s="90">
        <v>89.34</v>
      </c>
      <c r="I6" s="9">
        <v>0.67</v>
      </c>
      <c r="J6" s="32">
        <v>1213204</v>
      </c>
      <c r="K6" s="92">
        <v>76.057796713451381</v>
      </c>
      <c r="L6" s="32">
        <f>'rekap indikator 01102026'!D41</f>
        <v>1483925</v>
      </c>
      <c r="M6" s="93">
        <f>'rekap indikator 01102026'!E41</f>
        <v>93.64</v>
      </c>
      <c r="N6" s="5"/>
      <c r="O6" s="5"/>
      <c r="P6" s="10"/>
      <c r="Q6" s="19" t="s">
        <v>11</v>
      </c>
      <c r="R6" s="1"/>
    </row>
    <row r="7" spans="2:18" ht="34.950000000000003" customHeight="1" thickBot="1" x14ac:dyDescent="0.3">
      <c r="B7" s="208"/>
      <c r="C7" s="6">
        <v>3</v>
      </c>
      <c r="F7" s="8" t="s">
        <v>13</v>
      </c>
      <c r="G7" s="9">
        <v>0.8</v>
      </c>
      <c r="H7" s="90">
        <v>91.46</v>
      </c>
      <c r="I7" s="9">
        <v>0.2</v>
      </c>
      <c r="J7" s="32">
        <v>109144</v>
      </c>
      <c r="K7" s="92">
        <v>28</v>
      </c>
      <c r="L7" s="32">
        <f>'rekap indikator 01102026'!J41</f>
        <v>49129</v>
      </c>
      <c r="M7" s="93">
        <f>'rekap indikator 01102026'!K41</f>
        <v>39.64</v>
      </c>
      <c r="N7" s="5"/>
      <c r="O7" s="5"/>
      <c r="P7" s="10"/>
      <c r="Q7" s="19" t="s">
        <v>11</v>
      </c>
      <c r="R7" s="1"/>
    </row>
    <row r="8" spans="2:18" ht="54.45" customHeight="1" thickBot="1" x14ac:dyDescent="0.3">
      <c r="B8" s="208"/>
      <c r="C8" s="6">
        <v>4</v>
      </c>
      <c r="F8" s="8" t="s">
        <v>14</v>
      </c>
      <c r="G8" s="9">
        <v>0.48</v>
      </c>
      <c r="H8" s="90">
        <v>91.1</v>
      </c>
      <c r="I8" s="9">
        <v>0.13</v>
      </c>
      <c r="J8" s="32">
        <v>43365</v>
      </c>
      <c r="K8" s="30">
        <v>7.2744810232753201</v>
      </c>
      <c r="L8" s="32">
        <f>'rekap indikator 01102026'!N41</f>
        <v>64599</v>
      </c>
      <c r="M8" s="23">
        <f>'rekap indikator 01102026'!O41</f>
        <v>10.9</v>
      </c>
      <c r="N8" s="5"/>
      <c r="O8" s="5"/>
      <c r="P8" s="10"/>
      <c r="Q8" s="20" t="s">
        <v>15</v>
      </c>
      <c r="R8" s="1"/>
    </row>
    <row r="9" spans="2:18" ht="34.950000000000003" customHeight="1" thickBot="1" x14ac:dyDescent="0.3">
      <c r="B9" s="208"/>
      <c r="C9" s="6">
        <v>5</v>
      </c>
      <c r="F9" s="11" t="s">
        <v>39</v>
      </c>
      <c r="G9" s="9">
        <v>0.84</v>
      </c>
      <c r="H9" s="24">
        <v>71.72</v>
      </c>
      <c r="I9" s="9">
        <v>0.85</v>
      </c>
      <c r="J9" s="32">
        <v>136</v>
      </c>
      <c r="K9" s="30">
        <v>0.49544626593806923</v>
      </c>
      <c r="L9" s="32">
        <f>'rekap indikator 01102026'!R41</f>
        <v>7750</v>
      </c>
      <c r="M9" s="23">
        <f>'rekap indikator 01102026'!S41</f>
        <v>26.44</v>
      </c>
      <c r="N9" s="5"/>
      <c r="O9" s="5"/>
      <c r="P9" s="10"/>
      <c r="Q9" s="20" t="s">
        <v>15</v>
      </c>
      <c r="R9" s="1"/>
    </row>
    <row r="10" spans="2:18" ht="34.950000000000003" customHeight="1" thickBot="1" x14ac:dyDescent="0.3">
      <c r="B10" s="209" t="s">
        <v>36</v>
      </c>
      <c r="C10" s="6" t="s">
        <v>29</v>
      </c>
      <c r="F10" s="8" t="s">
        <v>16</v>
      </c>
      <c r="G10" s="9">
        <v>0.8</v>
      </c>
      <c r="H10" s="90">
        <v>94.38</v>
      </c>
      <c r="I10" s="9">
        <v>0.85</v>
      </c>
      <c r="J10" s="32">
        <v>1695390</v>
      </c>
      <c r="K10" s="92">
        <v>96.083200812467197</v>
      </c>
      <c r="L10" s="32">
        <f>'rekap indikator 01102026'!T41</f>
        <v>1462055</v>
      </c>
      <c r="M10" s="93">
        <f>'rekap indikator 01102026'!U41</f>
        <v>96.13</v>
      </c>
      <c r="N10" s="5"/>
      <c r="O10" s="5"/>
      <c r="P10" s="10"/>
      <c r="Q10" s="19" t="s">
        <v>11</v>
      </c>
      <c r="R10" s="1"/>
    </row>
    <row r="11" spans="2:18" ht="34.950000000000003" customHeight="1" thickBot="1" x14ac:dyDescent="0.3">
      <c r="B11" s="209"/>
      <c r="C11" s="6" t="s">
        <v>30</v>
      </c>
      <c r="F11" s="8" t="s">
        <v>17</v>
      </c>
      <c r="G11" s="9">
        <v>0.5</v>
      </c>
      <c r="H11" s="90">
        <v>88.51</v>
      </c>
      <c r="I11" s="9">
        <v>0.55000000000000004</v>
      </c>
      <c r="J11" s="32">
        <v>258722</v>
      </c>
      <c r="K11" s="30">
        <v>8.828595802764033</v>
      </c>
      <c r="L11" s="32">
        <f>'rekap indikator 01102026'!V41</f>
        <v>312523</v>
      </c>
      <c r="M11" s="23">
        <f>'rekap indikator 01102026'!W41</f>
        <v>11.73</v>
      </c>
      <c r="N11" s="5"/>
      <c r="O11" s="5"/>
      <c r="P11" s="10"/>
      <c r="Q11" s="20" t="s">
        <v>15</v>
      </c>
      <c r="R11" s="1"/>
    </row>
    <row r="12" spans="2:18" ht="34.950000000000003" customHeight="1" thickBot="1" x14ac:dyDescent="0.3">
      <c r="B12" s="209"/>
      <c r="C12" s="6">
        <v>7</v>
      </c>
      <c r="F12" s="8" t="s">
        <v>18</v>
      </c>
      <c r="G12" s="9">
        <v>0.73</v>
      </c>
      <c r="H12" s="90">
        <v>90.24</v>
      </c>
      <c r="I12" s="9">
        <v>0.76</v>
      </c>
      <c r="J12" s="32">
        <v>75827</v>
      </c>
      <c r="K12" s="92">
        <v>88.466160325738215</v>
      </c>
      <c r="L12" s="32">
        <f>'rekap indikator 01102026'!Z41</f>
        <v>179652</v>
      </c>
      <c r="M12" s="93">
        <f>'rekap indikator 01102026'!AA41</f>
        <v>89.77</v>
      </c>
      <c r="N12" s="5"/>
      <c r="O12" s="5"/>
      <c r="P12" s="10"/>
      <c r="Q12" s="19" t="s">
        <v>11</v>
      </c>
      <c r="R12" s="1"/>
    </row>
    <row r="13" spans="2:18" ht="34.950000000000003" customHeight="1" thickBot="1" x14ac:dyDescent="0.3">
      <c r="B13" s="209"/>
      <c r="C13" s="6">
        <v>8</v>
      </c>
      <c r="F13" s="8" t="s">
        <v>19</v>
      </c>
      <c r="G13" s="9">
        <v>0.73</v>
      </c>
      <c r="H13" s="90">
        <v>93.66</v>
      </c>
      <c r="I13" s="9">
        <v>0.76</v>
      </c>
      <c r="J13" s="32">
        <v>382643</v>
      </c>
      <c r="K13" s="92">
        <v>95.526328348911221</v>
      </c>
      <c r="L13" s="32">
        <f>'rekap indikator 01102026'!AB41</f>
        <v>141953</v>
      </c>
      <c r="M13" s="93">
        <f>'rekap indikator 01102026'!AC41</f>
        <v>95.31</v>
      </c>
      <c r="N13" s="5"/>
      <c r="O13" s="5"/>
      <c r="P13" s="10"/>
      <c r="Q13" s="19" t="s">
        <v>11</v>
      </c>
      <c r="R13" s="1"/>
    </row>
    <row r="14" spans="2:18" ht="34.950000000000003" customHeight="1" thickBot="1" x14ac:dyDescent="0.3">
      <c r="B14" s="209"/>
      <c r="C14" s="6" t="s">
        <v>31</v>
      </c>
      <c r="F14" s="11" t="s">
        <v>40</v>
      </c>
      <c r="G14" s="9">
        <v>0.65</v>
      </c>
      <c r="H14" s="24">
        <v>23.4</v>
      </c>
      <c r="I14" s="9">
        <v>0.7</v>
      </c>
      <c r="J14" s="32">
        <v>4082</v>
      </c>
      <c r="K14" s="30">
        <v>0.54442999566536632</v>
      </c>
      <c r="L14" s="32">
        <f>'rekap indikator 01102026'!AK41</f>
        <v>80218</v>
      </c>
      <c r="M14" s="22">
        <f>'rekap indikator 01102026'!AL41</f>
        <v>3.37</v>
      </c>
      <c r="N14" s="10"/>
      <c r="O14" s="10"/>
      <c r="P14" s="10"/>
      <c r="Q14" s="20" t="s">
        <v>15</v>
      </c>
      <c r="R14" s="1"/>
    </row>
    <row r="15" spans="2:18" ht="34.950000000000003" customHeight="1" thickBot="1" x14ac:dyDescent="0.3">
      <c r="B15" s="209"/>
      <c r="C15" s="6" t="s">
        <v>32</v>
      </c>
      <c r="F15" s="11" t="s">
        <v>41</v>
      </c>
      <c r="G15" s="9">
        <v>0.65</v>
      </c>
      <c r="H15" s="24">
        <v>55.6</v>
      </c>
      <c r="I15" s="9">
        <v>0.7</v>
      </c>
      <c r="J15" s="32">
        <v>638</v>
      </c>
      <c r="K15" s="30">
        <v>0.441162234300018</v>
      </c>
      <c r="L15" s="32">
        <f>'rekap indikator 01102026'!AH41</f>
        <v>30651</v>
      </c>
      <c r="M15" s="22">
        <f>'rekap indikator 01102026'!AI41</f>
        <v>6.32</v>
      </c>
      <c r="N15" s="10"/>
      <c r="O15" s="10"/>
      <c r="P15" s="10"/>
      <c r="Q15" s="20" t="s">
        <v>15</v>
      </c>
      <c r="R15" s="1"/>
    </row>
    <row r="16" spans="2:18" ht="34.950000000000003" customHeight="1" thickBot="1" x14ac:dyDescent="0.3">
      <c r="B16" s="209"/>
      <c r="C16" s="6" t="s">
        <v>33</v>
      </c>
      <c r="F16" s="11" t="s">
        <v>42</v>
      </c>
      <c r="G16" s="9">
        <v>0.65</v>
      </c>
      <c r="H16" s="24">
        <v>59.81</v>
      </c>
      <c r="I16" s="9">
        <v>0.7</v>
      </c>
      <c r="J16" s="32">
        <v>571</v>
      </c>
      <c r="K16" s="30">
        <v>0.54386650030003136</v>
      </c>
      <c r="L16" s="32">
        <f>'rekap indikator 01102026'!AE41</f>
        <v>27677</v>
      </c>
      <c r="M16" s="23">
        <f>'rekap indikator 01102026'!AF41</f>
        <v>8.27</v>
      </c>
      <c r="N16" s="5"/>
      <c r="O16" s="5"/>
      <c r="P16" s="10"/>
      <c r="Q16" s="20" t="s">
        <v>15</v>
      </c>
      <c r="R16" s="1"/>
    </row>
    <row r="17" spans="2:18" ht="34.950000000000003" customHeight="1" thickBot="1" x14ac:dyDescent="0.3">
      <c r="B17" s="209"/>
      <c r="C17" s="6" t="s">
        <v>34</v>
      </c>
      <c r="F17" s="11" t="s">
        <v>43</v>
      </c>
      <c r="G17" s="9">
        <v>0.91</v>
      </c>
      <c r="H17" s="90">
        <v>96.86</v>
      </c>
      <c r="I17" s="9">
        <v>0.92</v>
      </c>
      <c r="J17" s="32">
        <v>303</v>
      </c>
      <c r="K17" s="30">
        <v>21.814254859611232</v>
      </c>
      <c r="L17" s="32">
        <f>'rekap indikator 01102026'!AN41</f>
        <v>4036</v>
      </c>
      <c r="M17" s="23">
        <f>'rekap indikator 01102026'!AO41</f>
        <v>38.51</v>
      </c>
      <c r="N17" s="5"/>
      <c r="O17" s="5"/>
      <c r="P17" s="10"/>
      <c r="Q17" s="20" t="s">
        <v>15</v>
      </c>
      <c r="R17" s="1"/>
    </row>
    <row r="18" spans="2:18" ht="34.950000000000003" customHeight="1" thickBot="1" x14ac:dyDescent="0.3">
      <c r="B18" s="209"/>
      <c r="C18" s="6">
        <v>10</v>
      </c>
      <c r="F18" s="8" t="s">
        <v>20</v>
      </c>
      <c r="G18" s="9">
        <v>0.97</v>
      </c>
      <c r="H18" s="90">
        <v>99.46</v>
      </c>
      <c r="I18" s="9">
        <v>0.97</v>
      </c>
      <c r="J18" s="32">
        <v>65845</v>
      </c>
      <c r="K18" s="30">
        <v>12.018954335457421</v>
      </c>
      <c r="L18" s="32">
        <f>'rekap indikator 01102026'!AQ41</f>
        <v>250212</v>
      </c>
      <c r="M18" s="23">
        <f>'rekap indikator 01102026'!AR41</f>
        <v>45.672209008785366</v>
      </c>
      <c r="N18" s="5"/>
      <c r="O18" s="5"/>
      <c r="P18" s="10"/>
      <c r="Q18" s="20" t="s">
        <v>15</v>
      </c>
      <c r="R18" s="1"/>
    </row>
    <row r="19" spans="2:18" ht="58.5" customHeight="1" thickBot="1" x14ac:dyDescent="0.3">
      <c r="B19" s="4" t="s">
        <v>37</v>
      </c>
      <c r="C19" s="6">
        <v>11</v>
      </c>
      <c r="F19" s="8" t="s">
        <v>21</v>
      </c>
      <c r="G19" s="10" t="s">
        <v>22</v>
      </c>
      <c r="H19" s="91">
        <v>100</v>
      </c>
      <c r="I19" s="10" t="s">
        <v>22</v>
      </c>
      <c r="J19" s="10" t="s">
        <v>22</v>
      </c>
      <c r="K19" s="93">
        <v>100</v>
      </c>
      <c r="L19" s="10" t="s">
        <v>22</v>
      </c>
      <c r="M19" s="94">
        <v>100</v>
      </c>
      <c r="N19" s="10"/>
      <c r="O19" s="10"/>
      <c r="P19" s="5"/>
      <c r="Q19" s="21" t="s">
        <v>11</v>
      </c>
      <c r="R19" s="1"/>
    </row>
  </sheetData>
  <mergeCells count="2">
    <mergeCell ref="B5:B9"/>
    <mergeCell ref="B10:B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9BD0B-89CD-454F-9550-3E0C1C5D0236}">
  <dimension ref="A2:H39"/>
  <sheetViews>
    <sheetView workbookViewId="0">
      <selection activeCell="C4" sqref="C4:E39"/>
    </sheetView>
  </sheetViews>
  <sheetFormatPr defaultRowHeight="14.4" x14ac:dyDescent="0.3"/>
  <cols>
    <col min="2" max="2" width="23.5546875" customWidth="1"/>
  </cols>
  <sheetData>
    <row r="2" spans="1:8" x14ac:dyDescent="0.3">
      <c r="A2" s="113"/>
      <c r="B2" s="113"/>
      <c r="C2" s="216" t="s">
        <v>313</v>
      </c>
      <c r="D2" s="216"/>
      <c r="E2" s="216"/>
      <c r="F2" s="216" t="s">
        <v>314</v>
      </c>
      <c r="G2" s="216"/>
      <c r="H2" s="216"/>
    </row>
    <row r="3" spans="1:8" x14ac:dyDescent="0.3">
      <c r="A3" s="115" t="s">
        <v>315</v>
      </c>
      <c r="B3" s="115" t="s">
        <v>316</v>
      </c>
      <c r="C3" s="115" t="s">
        <v>317</v>
      </c>
      <c r="D3" s="115" t="s">
        <v>318</v>
      </c>
      <c r="E3" s="115" t="s">
        <v>319</v>
      </c>
      <c r="F3" s="110" t="s">
        <v>317</v>
      </c>
      <c r="G3" s="110" t="s">
        <v>318</v>
      </c>
      <c r="H3" s="110" t="s">
        <v>319</v>
      </c>
    </row>
    <row r="4" spans="1:8" x14ac:dyDescent="0.3">
      <c r="A4" s="215" t="s">
        <v>320</v>
      </c>
      <c r="B4" s="112" t="s">
        <v>321</v>
      </c>
      <c r="C4" s="111">
        <v>31615</v>
      </c>
      <c r="D4" s="116">
        <v>12411</v>
      </c>
      <c r="E4" s="135">
        <f t="shared" ref="E4:E38" si="0">D4/C4*100</f>
        <v>39.256681954768311</v>
      </c>
      <c r="F4" s="114">
        <v>31592</v>
      </c>
      <c r="G4" s="117">
        <v>13770</v>
      </c>
      <c r="H4" s="118">
        <v>0.43586984046594074</v>
      </c>
    </row>
    <row r="5" spans="1:8" x14ac:dyDescent="0.3">
      <c r="A5" s="215"/>
      <c r="B5" s="112" t="s">
        <v>322</v>
      </c>
      <c r="C5" s="111">
        <v>23858</v>
      </c>
      <c r="D5" s="116">
        <v>10140</v>
      </c>
      <c r="E5" s="135">
        <f t="shared" si="0"/>
        <v>42.501467013161204</v>
      </c>
      <c r="F5" s="114">
        <v>23883</v>
      </c>
      <c r="G5" s="117">
        <v>9925</v>
      </c>
      <c r="H5" s="118">
        <v>0.41556755851442451</v>
      </c>
    </row>
    <row r="6" spans="1:8" x14ac:dyDescent="0.3">
      <c r="A6" s="215"/>
      <c r="B6" s="112" t="s">
        <v>323</v>
      </c>
      <c r="C6" s="111">
        <v>16754</v>
      </c>
      <c r="D6" s="116">
        <v>6699</v>
      </c>
      <c r="E6" s="135">
        <f t="shared" si="0"/>
        <v>39.984481317894236</v>
      </c>
      <c r="F6" s="114">
        <v>16571</v>
      </c>
      <c r="G6" s="117">
        <v>6917</v>
      </c>
      <c r="H6" s="118">
        <v>0.41741596765433586</v>
      </c>
    </row>
    <row r="7" spans="1:8" x14ac:dyDescent="0.3">
      <c r="A7" s="215"/>
      <c r="B7" s="112" t="s">
        <v>324</v>
      </c>
      <c r="C7" s="111">
        <v>14328</v>
      </c>
      <c r="D7" s="116">
        <v>6516</v>
      </c>
      <c r="E7" s="135">
        <f t="shared" si="0"/>
        <v>45.477386934673369</v>
      </c>
      <c r="F7" s="114">
        <v>14295</v>
      </c>
      <c r="G7" s="117">
        <v>6982</v>
      </c>
      <c r="H7" s="118">
        <v>0.48842252535851699</v>
      </c>
    </row>
    <row r="8" spans="1:8" x14ac:dyDescent="0.3">
      <c r="A8" s="215"/>
      <c r="B8" s="112" t="s">
        <v>325</v>
      </c>
      <c r="C8" s="111">
        <v>19762</v>
      </c>
      <c r="D8" s="116">
        <v>6908</v>
      </c>
      <c r="E8" s="135">
        <f t="shared" si="0"/>
        <v>34.955976115777752</v>
      </c>
      <c r="F8" s="114">
        <v>19738</v>
      </c>
      <c r="G8" s="117">
        <v>6821</v>
      </c>
      <c r="H8" s="118">
        <v>0.34557705947917722</v>
      </c>
    </row>
    <row r="9" spans="1:8" x14ac:dyDescent="0.3">
      <c r="A9" s="215"/>
      <c r="B9" s="112" t="s">
        <v>326</v>
      </c>
      <c r="C9" s="111">
        <v>11687</v>
      </c>
      <c r="D9" s="116">
        <v>4265</v>
      </c>
      <c r="E9" s="135">
        <f t="shared" si="0"/>
        <v>36.493539830580993</v>
      </c>
      <c r="F9" s="114">
        <v>11678</v>
      </c>
      <c r="G9" s="117">
        <v>4371</v>
      </c>
      <c r="H9" s="118">
        <v>0.37429354341496834</v>
      </c>
    </row>
    <row r="10" spans="1:8" x14ac:dyDescent="0.3">
      <c r="A10" s="215"/>
      <c r="B10" s="112" t="s">
        <v>327</v>
      </c>
      <c r="C10" s="111">
        <v>12548</v>
      </c>
      <c r="D10" s="116">
        <v>5089</v>
      </c>
      <c r="E10" s="135">
        <f t="shared" si="0"/>
        <v>40.556263946445647</v>
      </c>
      <c r="F10" s="114">
        <v>12545</v>
      </c>
      <c r="G10" s="117">
        <v>5330</v>
      </c>
      <c r="H10" s="118">
        <v>0.42487046632124353</v>
      </c>
    </row>
    <row r="11" spans="1:8" x14ac:dyDescent="0.3">
      <c r="A11" s="215"/>
      <c r="B11" s="112" t="s">
        <v>328</v>
      </c>
      <c r="C11" s="111">
        <v>20070</v>
      </c>
      <c r="D11" s="116">
        <v>8932</v>
      </c>
      <c r="E11" s="135">
        <f t="shared" si="0"/>
        <v>44.504235176880918</v>
      </c>
      <c r="F11" s="114">
        <v>20052</v>
      </c>
      <c r="G11" s="117">
        <v>9128</v>
      </c>
      <c r="H11" s="118">
        <v>0.45521643726311589</v>
      </c>
    </row>
    <row r="12" spans="1:8" x14ac:dyDescent="0.3">
      <c r="A12" s="215"/>
      <c r="B12" s="112" t="s">
        <v>329</v>
      </c>
      <c r="C12" s="111">
        <v>14055</v>
      </c>
      <c r="D12" s="116">
        <v>5876</v>
      </c>
      <c r="E12" s="135">
        <f t="shared" si="0"/>
        <v>41.807186054784772</v>
      </c>
      <c r="F12" s="114">
        <v>14042</v>
      </c>
      <c r="G12" s="117">
        <v>5597</v>
      </c>
      <c r="H12" s="118">
        <v>0.39858994445235724</v>
      </c>
    </row>
    <row r="13" spans="1:8" x14ac:dyDescent="0.3">
      <c r="A13" s="215"/>
      <c r="B13" s="112" t="s">
        <v>330</v>
      </c>
      <c r="C13" s="111">
        <v>17328</v>
      </c>
      <c r="D13" s="116">
        <v>7033</v>
      </c>
      <c r="E13" s="135">
        <f t="shared" si="0"/>
        <v>40.587488457987078</v>
      </c>
      <c r="F13" s="114">
        <v>17287</v>
      </c>
      <c r="G13" s="117">
        <v>6763</v>
      </c>
      <c r="H13" s="118">
        <v>0.39121883496268872</v>
      </c>
    </row>
    <row r="14" spans="1:8" x14ac:dyDescent="0.3">
      <c r="A14" s="215"/>
      <c r="B14" s="112" t="s">
        <v>331</v>
      </c>
      <c r="C14" s="111">
        <v>13304</v>
      </c>
      <c r="D14" s="116">
        <v>6763</v>
      </c>
      <c r="E14" s="135">
        <f t="shared" si="0"/>
        <v>50.834335538184007</v>
      </c>
      <c r="F14" s="114">
        <v>13280</v>
      </c>
      <c r="G14" s="117">
        <v>6531</v>
      </c>
      <c r="H14" s="118">
        <v>0.49179216867469877</v>
      </c>
    </row>
    <row r="15" spans="1:8" x14ac:dyDescent="0.3">
      <c r="A15" s="215"/>
      <c r="B15" s="112" t="s">
        <v>332</v>
      </c>
      <c r="C15" s="111">
        <v>11540</v>
      </c>
      <c r="D15" s="116">
        <v>4629</v>
      </c>
      <c r="E15" s="135">
        <f t="shared" si="0"/>
        <v>40.112651646447141</v>
      </c>
      <c r="F15" s="114">
        <v>11642</v>
      </c>
      <c r="G15" s="117">
        <v>4647</v>
      </c>
      <c r="H15" s="118">
        <v>0.39915822023707265</v>
      </c>
    </row>
    <row r="16" spans="1:8" x14ac:dyDescent="0.3">
      <c r="A16" s="215"/>
      <c r="B16" s="112" t="s">
        <v>333</v>
      </c>
      <c r="C16" s="111">
        <v>12969</v>
      </c>
      <c r="D16" s="116">
        <v>5738</v>
      </c>
      <c r="E16" s="135">
        <f t="shared" si="0"/>
        <v>44.243966381370967</v>
      </c>
      <c r="F16" s="114">
        <v>12991</v>
      </c>
      <c r="G16" s="117">
        <v>5681</v>
      </c>
      <c r="H16" s="118">
        <v>0.43730274805634672</v>
      </c>
    </row>
    <row r="17" spans="1:8" x14ac:dyDescent="0.3">
      <c r="A17" s="215"/>
      <c r="B17" s="112" t="s">
        <v>334</v>
      </c>
      <c r="C17" s="111">
        <v>14346</v>
      </c>
      <c r="D17" s="116">
        <v>7090</v>
      </c>
      <c r="E17" s="135">
        <f t="shared" si="0"/>
        <v>49.421441516799106</v>
      </c>
      <c r="F17" s="114">
        <v>14276</v>
      </c>
      <c r="G17" s="117">
        <v>7353</v>
      </c>
      <c r="H17" s="118">
        <v>0.51506024096385539</v>
      </c>
    </row>
    <row r="18" spans="1:8" x14ac:dyDescent="0.3">
      <c r="A18" s="215"/>
      <c r="B18" s="112" t="s">
        <v>335</v>
      </c>
      <c r="C18" s="111">
        <v>20184</v>
      </c>
      <c r="D18" s="116">
        <v>10300</v>
      </c>
      <c r="E18" s="135">
        <f t="shared" si="0"/>
        <v>51.030519223147039</v>
      </c>
      <c r="F18" s="114">
        <v>20085</v>
      </c>
      <c r="G18" s="117">
        <v>9939</v>
      </c>
      <c r="H18" s="118">
        <v>0.49484690067214337</v>
      </c>
    </row>
    <row r="19" spans="1:8" x14ac:dyDescent="0.3">
      <c r="A19" s="215"/>
      <c r="B19" s="112" t="s">
        <v>336</v>
      </c>
      <c r="C19" s="111">
        <v>13002</v>
      </c>
      <c r="D19" s="116">
        <v>5793</v>
      </c>
      <c r="E19" s="135">
        <f t="shared" si="0"/>
        <v>44.55468389478542</v>
      </c>
      <c r="F19" s="114">
        <v>12992</v>
      </c>
      <c r="G19" s="117">
        <v>5884</v>
      </c>
      <c r="H19" s="118">
        <v>0.45289408866995073</v>
      </c>
    </row>
    <row r="20" spans="1:8" x14ac:dyDescent="0.3">
      <c r="A20" s="215"/>
      <c r="B20" s="112" t="s">
        <v>337</v>
      </c>
      <c r="C20" s="111">
        <v>9771</v>
      </c>
      <c r="D20" s="116">
        <v>4823</v>
      </c>
      <c r="E20" s="135">
        <f t="shared" si="0"/>
        <v>49.360352062224948</v>
      </c>
      <c r="F20" s="114">
        <v>9759</v>
      </c>
      <c r="G20" s="117">
        <v>5029</v>
      </c>
      <c r="H20" s="118">
        <v>0.5153191925402193</v>
      </c>
    </row>
    <row r="21" spans="1:8" x14ac:dyDescent="0.3">
      <c r="A21" s="215"/>
      <c r="B21" s="112" t="s">
        <v>338</v>
      </c>
      <c r="C21" s="111">
        <v>15422</v>
      </c>
      <c r="D21" s="116">
        <v>8808</v>
      </c>
      <c r="E21" s="135">
        <f t="shared" si="0"/>
        <v>57.113214887822593</v>
      </c>
      <c r="F21" s="114">
        <v>15486</v>
      </c>
      <c r="G21" s="117">
        <v>9418</v>
      </c>
      <c r="H21" s="118">
        <v>0.60816221102931678</v>
      </c>
    </row>
    <row r="22" spans="1:8" x14ac:dyDescent="0.3">
      <c r="A22" s="215"/>
      <c r="B22" s="112" t="s">
        <v>339</v>
      </c>
      <c r="C22" s="111">
        <v>13244</v>
      </c>
      <c r="D22" s="116">
        <v>8393</v>
      </c>
      <c r="E22" s="135">
        <f t="shared" si="0"/>
        <v>63.372093023255815</v>
      </c>
      <c r="F22" s="114">
        <v>13257</v>
      </c>
      <c r="G22" s="117">
        <v>8846</v>
      </c>
      <c r="H22" s="118">
        <v>0.6672701214452742</v>
      </c>
    </row>
    <row r="23" spans="1:8" x14ac:dyDescent="0.3">
      <c r="A23" s="215"/>
      <c r="B23" s="112" t="s">
        <v>340</v>
      </c>
      <c r="C23" s="111">
        <v>18959</v>
      </c>
      <c r="D23" s="116">
        <v>8488</v>
      </c>
      <c r="E23" s="135">
        <f t="shared" si="0"/>
        <v>44.770293791866663</v>
      </c>
      <c r="F23" s="114">
        <v>18968</v>
      </c>
      <c r="G23" s="117">
        <v>8874</v>
      </c>
      <c r="H23" s="118">
        <v>0.46784057359763814</v>
      </c>
    </row>
    <row r="24" spans="1:8" x14ac:dyDescent="0.3">
      <c r="A24" s="215"/>
      <c r="B24" s="112" t="s">
        <v>341</v>
      </c>
      <c r="C24" s="111">
        <v>19892</v>
      </c>
      <c r="D24" s="116">
        <v>9830</v>
      </c>
      <c r="E24" s="135">
        <f t="shared" si="0"/>
        <v>49.416850995375029</v>
      </c>
      <c r="F24" s="114">
        <v>19719</v>
      </c>
      <c r="G24" s="117">
        <v>9588</v>
      </c>
      <c r="H24" s="118">
        <v>0.48623155332420509</v>
      </c>
    </row>
    <row r="25" spans="1:8" x14ac:dyDescent="0.3">
      <c r="A25" s="215"/>
      <c r="B25" s="112" t="s">
        <v>342</v>
      </c>
      <c r="C25" s="111">
        <v>16189</v>
      </c>
      <c r="D25" s="116">
        <v>7438</v>
      </c>
      <c r="E25" s="135">
        <f t="shared" si="0"/>
        <v>45.94477731793193</v>
      </c>
      <c r="F25" s="114">
        <v>16178</v>
      </c>
      <c r="G25" s="117">
        <v>7181</v>
      </c>
      <c r="H25" s="118">
        <v>0.44387439732970702</v>
      </c>
    </row>
    <row r="26" spans="1:8" x14ac:dyDescent="0.3">
      <c r="A26" s="215"/>
      <c r="B26" s="112" t="s">
        <v>343</v>
      </c>
      <c r="C26" s="111">
        <v>11842</v>
      </c>
      <c r="D26" s="116">
        <v>4610</v>
      </c>
      <c r="E26" s="135">
        <f t="shared" si="0"/>
        <v>38.929234926532679</v>
      </c>
      <c r="F26" s="114">
        <v>11772</v>
      </c>
      <c r="G26" s="117">
        <v>5053</v>
      </c>
      <c r="H26" s="118">
        <v>0.42923887189942234</v>
      </c>
    </row>
    <row r="27" spans="1:8" x14ac:dyDescent="0.3">
      <c r="A27" s="215"/>
      <c r="B27" s="112" t="s">
        <v>344</v>
      </c>
      <c r="C27" s="111">
        <v>15898</v>
      </c>
      <c r="D27" s="116">
        <v>6908</v>
      </c>
      <c r="E27" s="135">
        <f t="shared" si="0"/>
        <v>43.452006541703355</v>
      </c>
      <c r="F27" s="114">
        <v>15947</v>
      </c>
      <c r="G27" s="117">
        <v>6478</v>
      </c>
      <c r="H27" s="118">
        <v>0.40622060575656865</v>
      </c>
    </row>
    <row r="28" spans="1:8" x14ac:dyDescent="0.3">
      <c r="A28" s="215"/>
      <c r="B28" s="112" t="s">
        <v>345</v>
      </c>
      <c r="C28" s="111">
        <v>13411</v>
      </c>
      <c r="D28" s="116">
        <v>5698</v>
      </c>
      <c r="E28" s="135">
        <f t="shared" si="0"/>
        <v>42.487510252777568</v>
      </c>
      <c r="F28" s="114">
        <v>13396</v>
      </c>
      <c r="G28" s="117">
        <v>5833</v>
      </c>
      <c r="H28" s="118">
        <v>0.43542848611525831</v>
      </c>
    </row>
    <row r="29" spans="1:8" x14ac:dyDescent="0.3">
      <c r="A29" s="215"/>
      <c r="B29" s="112" t="s">
        <v>346</v>
      </c>
      <c r="C29" s="111">
        <v>14359</v>
      </c>
      <c r="D29" s="116">
        <v>7272</v>
      </c>
      <c r="E29" s="135">
        <f t="shared" si="0"/>
        <v>50.644195278222718</v>
      </c>
      <c r="F29" s="114">
        <v>14313</v>
      </c>
      <c r="G29" s="117">
        <v>6049</v>
      </c>
      <c r="H29" s="118">
        <v>0.4226227904702019</v>
      </c>
    </row>
    <row r="30" spans="1:8" x14ac:dyDescent="0.3">
      <c r="A30" s="215"/>
      <c r="B30" s="112" t="s">
        <v>347</v>
      </c>
      <c r="C30" s="111">
        <v>26460</v>
      </c>
      <c r="D30" s="116">
        <v>10368</v>
      </c>
      <c r="E30" s="135">
        <f t="shared" si="0"/>
        <v>39.183673469387756</v>
      </c>
      <c r="F30" s="114">
        <v>26259</v>
      </c>
      <c r="G30" s="117">
        <v>10239</v>
      </c>
      <c r="H30" s="118">
        <v>0.38992345481549184</v>
      </c>
    </row>
    <row r="31" spans="1:8" x14ac:dyDescent="0.3">
      <c r="A31" s="215"/>
      <c r="B31" s="112" t="s">
        <v>348</v>
      </c>
      <c r="C31" s="111">
        <v>27531</v>
      </c>
      <c r="D31" s="116">
        <v>11245</v>
      </c>
      <c r="E31" s="135">
        <f t="shared" si="0"/>
        <v>40.844865787657547</v>
      </c>
      <c r="F31" s="114">
        <v>27505</v>
      </c>
      <c r="G31" s="117">
        <v>11065</v>
      </c>
      <c r="H31" s="118">
        <v>0.40229049263770222</v>
      </c>
    </row>
    <row r="32" spans="1:8" x14ac:dyDescent="0.3">
      <c r="A32" s="215"/>
      <c r="B32" s="112" t="s">
        <v>349</v>
      </c>
      <c r="C32" s="111">
        <v>33127</v>
      </c>
      <c r="D32" s="116">
        <v>14406</v>
      </c>
      <c r="E32" s="135">
        <f t="shared" si="0"/>
        <v>43.487185679355214</v>
      </c>
      <c r="F32" s="114">
        <v>32961</v>
      </c>
      <c r="G32" s="117">
        <v>14059</v>
      </c>
      <c r="H32" s="118">
        <v>0.42653438912654351</v>
      </c>
    </row>
    <row r="33" spans="1:8" x14ac:dyDescent="0.3">
      <c r="A33" s="215"/>
      <c r="B33" s="112" t="s">
        <v>350</v>
      </c>
      <c r="C33" s="111">
        <v>1390</v>
      </c>
      <c r="D33" s="116">
        <v>585</v>
      </c>
      <c r="E33" s="135">
        <f t="shared" si="0"/>
        <v>42.086330935251794</v>
      </c>
      <c r="F33" s="114">
        <v>1394</v>
      </c>
      <c r="G33" s="117">
        <v>548</v>
      </c>
      <c r="H33" s="118">
        <v>0.39311334289813488</v>
      </c>
    </row>
    <row r="34" spans="1:8" x14ac:dyDescent="0.3">
      <c r="A34" s="215"/>
      <c r="B34" s="112" t="s">
        <v>351</v>
      </c>
      <c r="C34" s="111">
        <v>7039</v>
      </c>
      <c r="D34" s="116">
        <v>3445</v>
      </c>
      <c r="E34" s="135">
        <f t="shared" si="0"/>
        <v>48.941611024293223</v>
      </c>
      <c r="F34" s="114">
        <v>7012</v>
      </c>
      <c r="G34" s="117">
        <v>3466</v>
      </c>
      <c r="H34" s="118">
        <v>0.49429549343981743</v>
      </c>
    </row>
    <row r="35" spans="1:8" x14ac:dyDescent="0.3">
      <c r="A35" s="215"/>
      <c r="B35" s="112" t="s">
        <v>352</v>
      </c>
      <c r="C35" s="111">
        <v>3125</v>
      </c>
      <c r="D35" s="116">
        <v>2083</v>
      </c>
      <c r="E35" s="135">
        <f t="shared" si="0"/>
        <v>66.656000000000006</v>
      </c>
      <c r="F35" s="114">
        <v>3117</v>
      </c>
      <c r="G35" s="117">
        <v>2122</v>
      </c>
      <c r="H35" s="118">
        <v>0.68078280397818414</v>
      </c>
    </row>
    <row r="36" spans="1:8" x14ac:dyDescent="0.3">
      <c r="A36" s="215"/>
      <c r="B36" s="112" t="s">
        <v>353</v>
      </c>
      <c r="C36" s="111">
        <v>22853</v>
      </c>
      <c r="D36" s="116">
        <v>16151</v>
      </c>
      <c r="E36" s="135">
        <f t="shared" si="0"/>
        <v>70.673434560014002</v>
      </c>
      <c r="F36" s="114">
        <v>22841</v>
      </c>
      <c r="G36" s="117">
        <v>16046</v>
      </c>
      <c r="H36" s="118">
        <v>0.70250864673175428</v>
      </c>
    </row>
    <row r="37" spans="1:8" x14ac:dyDescent="0.3">
      <c r="A37" s="215"/>
      <c r="B37" s="112" t="s">
        <v>354</v>
      </c>
      <c r="C37" s="111">
        <v>5363</v>
      </c>
      <c r="D37" s="116">
        <v>2425</v>
      </c>
      <c r="E37" s="135">
        <f t="shared" si="0"/>
        <v>45.217229162782026</v>
      </c>
      <c r="F37" s="114">
        <v>5358</v>
      </c>
      <c r="G37" s="117">
        <v>2340</v>
      </c>
      <c r="H37" s="118">
        <v>0.43673012318029114</v>
      </c>
    </row>
    <row r="38" spans="1:8" x14ac:dyDescent="0.3">
      <c r="A38" s="215"/>
      <c r="B38" s="112" t="s">
        <v>355</v>
      </c>
      <c r="C38" s="111">
        <v>4618</v>
      </c>
      <c r="D38" s="116">
        <v>3054</v>
      </c>
      <c r="E38" s="135">
        <f t="shared" si="0"/>
        <v>66.132524902555218</v>
      </c>
      <c r="F38" s="114">
        <v>4590</v>
      </c>
      <c r="G38" s="117">
        <v>2647</v>
      </c>
      <c r="H38" s="118">
        <v>0.57668845315904138</v>
      </c>
    </row>
    <row r="39" spans="1:8" x14ac:dyDescent="0.3">
      <c r="C39" s="98">
        <f>SUM(C4:C38)</f>
        <v>547843</v>
      </c>
      <c r="D39" s="98">
        <f t="shared" ref="D39" si="1">SUM(D4:D38)</f>
        <v>250212</v>
      </c>
      <c r="E39" s="97">
        <f>D39/C39*100</f>
        <v>45.672209008785366</v>
      </c>
      <c r="F39" s="98">
        <f>SUM(F4:F38)</f>
        <v>546781</v>
      </c>
      <c r="G39" s="98">
        <f t="shared" ref="G39" si="2">SUM(G4:G38)</f>
        <v>250520</v>
      </c>
      <c r="H39" s="97">
        <f>G39/F39*100</f>
        <v>45.817246758757165</v>
      </c>
    </row>
  </sheetData>
  <mergeCells count="3">
    <mergeCell ref="A4:A38"/>
    <mergeCell ref="C2:E2"/>
    <mergeCell ref="F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7A2BC-6DA5-4C42-A255-19D64BE9CA0F}">
  <dimension ref="A1:BL42"/>
  <sheetViews>
    <sheetView topLeftCell="AF1" workbookViewId="0">
      <selection activeCell="AM4" sqref="AM4:AM5"/>
    </sheetView>
  </sheetViews>
  <sheetFormatPr defaultRowHeight="14.4" x14ac:dyDescent="0.3"/>
  <sheetData>
    <row r="1" spans="1:64" x14ac:dyDescent="0.3">
      <c r="A1" s="137" t="s">
        <v>742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7"/>
      <c r="AX1" s="137"/>
      <c r="AY1" s="137"/>
      <c r="AZ1" s="137"/>
      <c r="BA1" s="137"/>
      <c r="BB1" s="137"/>
      <c r="BC1" s="137"/>
      <c r="BD1" s="137"/>
      <c r="BE1" s="137"/>
      <c r="BF1" s="137"/>
      <c r="BG1" s="137"/>
      <c r="BH1" s="137"/>
      <c r="BI1" s="137"/>
      <c r="BJ1" s="137"/>
      <c r="BK1" s="137"/>
      <c r="BL1" s="137"/>
    </row>
    <row r="2" spans="1:64" x14ac:dyDescent="0.3">
      <c r="A2" s="137" t="s">
        <v>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7"/>
      <c r="BA2" s="137"/>
      <c r="BB2" s="137"/>
      <c r="BC2" s="137"/>
      <c r="BD2" s="137"/>
      <c r="BE2" s="137"/>
      <c r="BF2" s="137"/>
      <c r="BG2" s="137"/>
      <c r="BH2" s="137"/>
      <c r="BI2" s="137"/>
      <c r="BJ2" s="137"/>
      <c r="BK2" s="137"/>
      <c r="BL2" s="137"/>
    </row>
    <row r="3" spans="1:64" x14ac:dyDescent="0.3">
      <c r="A3" s="210" t="s">
        <v>1</v>
      </c>
      <c r="B3" s="210" t="s">
        <v>2</v>
      </c>
      <c r="C3" s="210" t="s">
        <v>743</v>
      </c>
      <c r="D3" s="210" t="s">
        <v>744</v>
      </c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 t="s">
        <v>745</v>
      </c>
      <c r="T3" s="210"/>
      <c r="U3" s="210"/>
      <c r="V3" s="210"/>
      <c r="W3" s="210"/>
      <c r="X3" s="210"/>
      <c r="Y3" s="210"/>
      <c r="Z3" s="210"/>
      <c r="AA3" s="210"/>
      <c r="AB3" s="210"/>
      <c r="AC3" s="210"/>
      <c r="AD3" s="210"/>
      <c r="AE3" s="210" t="s">
        <v>746</v>
      </c>
      <c r="AF3" s="210"/>
      <c r="AG3" s="210"/>
      <c r="AH3" s="210"/>
      <c r="AI3" s="210"/>
      <c r="AJ3" s="210"/>
      <c r="AK3" s="210"/>
      <c r="AL3" s="210"/>
      <c r="AM3" s="210"/>
      <c r="AN3" s="210" t="s">
        <v>747</v>
      </c>
      <c r="AO3" s="210"/>
      <c r="AP3" s="210"/>
      <c r="AQ3" s="210"/>
      <c r="AR3" s="210" t="s">
        <v>748</v>
      </c>
      <c r="AS3" s="210"/>
      <c r="AT3" s="210"/>
      <c r="AU3" s="210"/>
      <c r="AV3" s="210"/>
      <c r="AW3" s="210"/>
      <c r="AX3" s="210"/>
      <c r="AY3" s="210"/>
      <c r="AZ3" s="210"/>
      <c r="BA3" s="210"/>
      <c r="BB3" s="210"/>
      <c r="BC3" s="210"/>
      <c r="BD3" s="210" t="s">
        <v>749</v>
      </c>
      <c r="BE3" s="210"/>
      <c r="BF3" s="210" t="s">
        <v>750</v>
      </c>
      <c r="BG3" s="210"/>
      <c r="BH3" s="210"/>
      <c r="BI3" s="210"/>
      <c r="BJ3" s="210" t="s">
        <v>751</v>
      </c>
      <c r="BK3" s="210"/>
      <c r="BL3" s="210"/>
    </row>
    <row r="4" spans="1:64" x14ac:dyDescent="0.3">
      <c r="A4" s="210"/>
      <c r="B4" s="210"/>
      <c r="C4" s="210"/>
      <c r="D4" s="210" t="s">
        <v>752</v>
      </c>
      <c r="E4" s="210"/>
      <c r="F4" s="212" t="s">
        <v>753</v>
      </c>
      <c r="G4" s="212"/>
      <c r="H4" s="210" t="s">
        <v>754</v>
      </c>
      <c r="I4" s="210"/>
      <c r="J4" s="210" t="s">
        <v>755</v>
      </c>
      <c r="K4" s="210"/>
      <c r="L4" s="210" t="s">
        <v>756</v>
      </c>
      <c r="M4" s="210"/>
      <c r="N4" s="210"/>
      <c r="O4" s="210" t="s">
        <v>757</v>
      </c>
      <c r="P4" s="210"/>
      <c r="Q4" s="210" t="s">
        <v>758</v>
      </c>
      <c r="R4" s="210"/>
      <c r="S4" s="210" t="s">
        <v>759</v>
      </c>
      <c r="T4" s="210" t="s">
        <v>760</v>
      </c>
      <c r="U4" s="210" t="s">
        <v>761</v>
      </c>
      <c r="V4" s="210" t="s">
        <v>3</v>
      </c>
      <c r="W4" s="210" t="s">
        <v>762</v>
      </c>
      <c r="X4" s="210" t="s">
        <v>3</v>
      </c>
      <c r="Y4" s="210" t="s">
        <v>763</v>
      </c>
      <c r="Z4" s="210" t="s">
        <v>764</v>
      </c>
      <c r="AA4" s="210" t="s">
        <v>765</v>
      </c>
      <c r="AB4" s="210" t="s">
        <v>3</v>
      </c>
      <c r="AC4" s="210" t="s">
        <v>766</v>
      </c>
      <c r="AD4" s="210" t="s">
        <v>3</v>
      </c>
      <c r="AE4" s="210" t="s">
        <v>767</v>
      </c>
      <c r="AF4" s="210" t="s">
        <v>768</v>
      </c>
      <c r="AG4" s="210" t="s">
        <v>3</v>
      </c>
      <c r="AH4" s="210" t="s">
        <v>769</v>
      </c>
      <c r="AI4" s="210" t="s">
        <v>770</v>
      </c>
      <c r="AJ4" s="210" t="s">
        <v>3</v>
      </c>
      <c r="AK4" s="212" t="s">
        <v>771</v>
      </c>
      <c r="AL4" s="212" t="s">
        <v>772</v>
      </c>
      <c r="AM4" s="234" t="s">
        <v>3</v>
      </c>
      <c r="AN4" s="210" t="s">
        <v>773</v>
      </c>
      <c r="AO4" s="210" t="s">
        <v>3</v>
      </c>
      <c r="AP4" s="210" t="s">
        <v>774</v>
      </c>
      <c r="AQ4" s="210" t="s">
        <v>3</v>
      </c>
      <c r="AR4" s="210" t="s">
        <v>775</v>
      </c>
      <c r="AS4" s="210" t="s">
        <v>776</v>
      </c>
      <c r="AT4" s="210" t="s">
        <v>777</v>
      </c>
      <c r="AU4" s="210" t="s">
        <v>778</v>
      </c>
      <c r="AV4" s="210" t="s">
        <v>779</v>
      </c>
      <c r="AW4" s="210" t="s">
        <v>3</v>
      </c>
      <c r="AX4" s="210" t="s">
        <v>780</v>
      </c>
      <c r="AY4" s="210" t="s">
        <v>781</v>
      </c>
      <c r="AZ4" s="210" t="s">
        <v>782</v>
      </c>
      <c r="BA4" s="210" t="s">
        <v>783</v>
      </c>
      <c r="BB4" s="210" t="s">
        <v>784</v>
      </c>
      <c r="BC4" s="210" t="s">
        <v>3</v>
      </c>
      <c r="BD4" s="210" t="s">
        <v>785</v>
      </c>
      <c r="BE4" s="210" t="s">
        <v>786</v>
      </c>
      <c r="BF4" s="210" t="s">
        <v>787</v>
      </c>
      <c r="BG4" s="210" t="s">
        <v>3</v>
      </c>
      <c r="BH4" s="210" t="s">
        <v>788</v>
      </c>
      <c r="BI4" s="210" t="s">
        <v>3</v>
      </c>
      <c r="BJ4" s="210" t="s">
        <v>751</v>
      </c>
      <c r="BK4" s="210"/>
      <c r="BL4" s="210"/>
    </row>
    <row r="5" spans="1:64" ht="129.6" x14ac:dyDescent="0.3">
      <c r="A5" s="210"/>
      <c r="B5" s="210"/>
      <c r="C5" s="210"/>
      <c r="D5" s="138" t="s">
        <v>789</v>
      </c>
      <c r="E5" s="138" t="s">
        <v>3</v>
      </c>
      <c r="F5" s="141" t="s">
        <v>790</v>
      </c>
      <c r="G5" s="141" t="s">
        <v>3</v>
      </c>
      <c r="H5" s="138" t="s">
        <v>791</v>
      </c>
      <c r="I5" s="138" t="s">
        <v>3</v>
      </c>
      <c r="J5" s="138" t="s">
        <v>792</v>
      </c>
      <c r="K5" s="138" t="s">
        <v>3</v>
      </c>
      <c r="L5" s="138" t="s">
        <v>793</v>
      </c>
      <c r="M5" s="138" t="s">
        <v>794</v>
      </c>
      <c r="N5" s="138" t="s">
        <v>3</v>
      </c>
      <c r="O5" s="138" t="s">
        <v>795</v>
      </c>
      <c r="P5" s="138" t="s">
        <v>3</v>
      </c>
      <c r="Q5" s="138" t="s">
        <v>796</v>
      </c>
      <c r="R5" s="138" t="s">
        <v>3</v>
      </c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2"/>
      <c r="AL5" s="212"/>
      <c r="AM5" s="234"/>
      <c r="AN5" s="210"/>
      <c r="AO5" s="210"/>
      <c r="AP5" s="210"/>
      <c r="AQ5" s="210"/>
      <c r="AR5" s="210"/>
      <c r="AS5" s="210"/>
      <c r="AT5" s="210"/>
      <c r="AU5" s="210"/>
      <c r="AV5" s="210"/>
      <c r="AW5" s="210"/>
      <c r="AX5" s="210"/>
      <c r="AY5" s="210"/>
      <c r="AZ5" s="210"/>
      <c r="BA5" s="210"/>
      <c r="BB5" s="210"/>
      <c r="BC5" s="210"/>
      <c r="BD5" s="210"/>
      <c r="BE5" s="210"/>
      <c r="BF5" s="210"/>
      <c r="BG5" s="210"/>
      <c r="BH5" s="210"/>
      <c r="BI5" s="210"/>
      <c r="BJ5" s="138" t="s">
        <v>797</v>
      </c>
      <c r="BK5" s="138" t="s">
        <v>798</v>
      </c>
      <c r="BL5" s="138" t="s">
        <v>3</v>
      </c>
    </row>
    <row r="6" spans="1:64" x14ac:dyDescent="0.3">
      <c r="A6" s="138" t="s">
        <v>235</v>
      </c>
      <c r="B6" s="138" t="s">
        <v>236</v>
      </c>
      <c r="C6" s="138" t="s">
        <v>237</v>
      </c>
      <c r="D6" s="138" t="s">
        <v>238</v>
      </c>
      <c r="E6" s="138" t="s">
        <v>239</v>
      </c>
      <c r="F6" s="141" t="s">
        <v>240</v>
      </c>
      <c r="G6" s="141" t="s">
        <v>241</v>
      </c>
      <c r="H6" s="138" t="s">
        <v>242</v>
      </c>
      <c r="I6" s="138" t="s">
        <v>243</v>
      </c>
      <c r="J6" s="138" t="s">
        <v>244</v>
      </c>
      <c r="K6" s="138" t="s">
        <v>245</v>
      </c>
      <c r="L6" s="138" t="s">
        <v>246</v>
      </c>
      <c r="M6" s="138" t="s">
        <v>247</v>
      </c>
      <c r="N6" s="138" t="s">
        <v>248</v>
      </c>
      <c r="O6" s="138" t="s">
        <v>249</v>
      </c>
      <c r="P6" s="138" t="s">
        <v>250</v>
      </c>
      <c r="Q6" s="138" t="s">
        <v>251</v>
      </c>
      <c r="R6" s="138" t="s">
        <v>252</v>
      </c>
      <c r="S6" s="138" t="s">
        <v>253</v>
      </c>
      <c r="T6" s="138" t="s">
        <v>254</v>
      </c>
      <c r="U6" s="138" t="s">
        <v>255</v>
      </c>
      <c r="V6" s="138" t="s">
        <v>256</v>
      </c>
      <c r="W6" s="138" t="s">
        <v>257</v>
      </c>
      <c r="X6" s="138" t="s">
        <v>258</v>
      </c>
      <c r="Y6" s="138" t="s">
        <v>259</v>
      </c>
      <c r="Z6" s="138" t="s">
        <v>260</v>
      </c>
      <c r="AA6" s="138" t="s">
        <v>261</v>
      </c>
      <c r="AB6" s="138" t="s">
        <v>262</v>
      </c>
      <c r="AC6" s="138" t="s">
        <v>263</v>
      </c>
      <c r="AD6" s="138" t="s">
        <v>264</v>
      </c>
      <c r="AE6" s="138" t="s">
        <v>265</v>
      </c>
      <c r="AF6" s="138" t="s">
        <v>266</v>
      </c>
      <c r="AG6" s="138" t="s">
        <v>267</v>
      </c>
      <c r="AH6" s="138" t="s">
        <v>268</v>
      </c>
      <c r="AI6" s="138" t="s">
        <v>269</v>
      </c>
      <c r="AJ6" s="138" t="s">
        <v>270</v>
      </c>
      <c r="AK6" s="141" t="s">
        <v>271</v>
      </c>
      <c r="AL6" s="141" t="s">
        <v>272</v>
      </c>
      <c r="AM6" s="141" t="s">
        <v>564</v>
      </c>
      <c r="AN6" s="138" t="s">
        <v>565</v>
      </c>
      <c r="AO6" s="138" t="s">
        <v>566</v>
      </c>
      <c r="AP6" s="138" t="s">
        <v>567</v>
      </c>
      <c r="AQ6" s="138" t="s">
        <v>799</v>
      </c>
      <c r="AR6" s="138" t="s">
        <v>800</v>
      </c>
      <c r="AS6" s="138" t="s">
        <v>801</v>
      </c>
      <c r="AT6" s="138" t="s">
        <v>802</v>
      </c>
      <c r="AU6" s="138" t="s">
        <v>803</v>
      </c>
      <c r="AV6" s="138" t="s">
        <v>804</v>
      </c>
      <c r="AW6" s="138" t="s">
        <v>805</v>
      </c>
      <c r="AX6" s="138" t="s">
        <v>806</v>
      </c>
      <c r="AY6" s="138" t="s">
        <v>807</v>
      </c>
      <c r="AZ6" s="138" t="s">
        <v>808</v>
      </c>
      <c r="BA6" s="138" t="s">
        <v>809</v>
      </c>
      <c r="BB6" s="138" t="s">
        <v>810</v>
      </c>
      <c r="BC6" s="138" t="s">
        <v>811</v>
      </c>
      <c r="BD6" s="138" t="s">
        <v>812</v>
      </c>
      <c r="BE6" s="138" t="s">
        <v>813</v>
      </c>
      <c r="BF6" s="138" t="s">
        <v>814</v>
      </c>
      <c r="BG6" s="138" t="s">
        <v>815</v>
      </c>
      <c r="BH6" s="138" t="s">
        <v>816</v>
      </c>
      <c r="BI6" s="138" t="s">
        <v>817</v>
      </c>
      <c r="BJ6" s="138" t="s">
        <v>818</v>
      </c>
      <c r="BK6" s="138" t="s">
        <v>819</v>
      </c>
      <c r="BL6" s="138" t="s">
        <v>820</v>
      </c>
    </row>
    <row r="7" spans="1:64" ht="43.2" x14ac:dyDescent="0.3">
      <c r="A7" s="139">
        <v>1</v>
      </c>
      <c r="B7" s="139" t="s">
        <v>273</v>
      </c>
      <c r="C7" s="139">
        <v>8738</v>
      </c>
      <c r="D7" s="139">
        <v>945</v>
      </c>
      <c r="E7" s="139">
        <v>10.81</v>
      </c>
      <c r="F7" s="142">
        <v>571</v>
      </c>
      <c r="G7" s="142">
        <v>6.53</v>
      </c>
      <c r="H7" s="139">
        <v>1752</v>
      </c>
      <c r="I7" s="139" t="s">
        <v>821</v>
      </c>
      <c r="J7" s="139">
        <v>1428</v>
      </c>
      <c r="K7" s="139" t="s">
        <v>822</v>
      </c>
      <c r="L7" s="139">
        <v>1185</v>
      </c>
      <c r="M7" s="139">
        <v>210</v>
      </c>
      <c r="N7" s="139" t="s">
        <v>823</v>
      </c>
      <c r="O7" s="139">
        <v>218</v>
      </c>
      <c r="P7" s="139" t="s">
        <v>824</v>
      </c>
      <c r="Q7" s="139">
        <v>8380</v>
      </c>
      <c r="R7" s="139" t="s">
        <v>825</v>
      </c>
      <c r="S7" s="139">
        <v>157153</v>
      </c>
      <c r="T7" s="139">
        <v>80534</v>
      </c>
      <c r="U7" s="139">
        <v>78886</v>
      </c>
      <c r="V7" s="139">
        <v>97.95</v>
      </c>
      <c r="W7" s="139">
        <v>79392</v>
      </c>
      <c r="X7" s="139" t="s">
        <v>826</v>
      </c>
      <c r="Y7" s="139">
        <v>56930</v>
      </c>
      <c r="Z7" s="139">
        <v>35260</v>
      </c>
      <c r="AA7" s="139">
        <v>1693</v>
      </c>
      <c r="AB7" s="139" t="s">
        <v>827</v>
      </c>
      <c r="AC7" s="139">
        <v>34110</v>
      </c>
      <c r="AD7" s="139" t="s">
        <v>828</v>
      </c>
      <c r="AE7" s="139">
        <v>17994</v>
      </c>
      <c r="AF7" s="139">
        <v>10025</v>
      </c>
      <c r="AG7" s="139" t="s">
        <v>829</v>
      </c>
      <c r="AH7" s="139">
        <v>76813</v>
      </c>
      <c r="AI7" s="139">
        <v>43299</v>
      </c>
      <c r="AJ7" s="139" t="s">
        <v>830</v>
      </c>
      <c r="AK7" s="142">
        <v>94807</v>
      </c>
      <c r="AL7" s="142">
        <v>53324</v>
      </c>
      <c r="AM7" s="142">
        <v>56.24</v>
      </c>
      <c r="AN7" s="139">
        <v>48037</v>
      </c>
      <c r="AO7" s="139" t="s">
        <v>831</v>
      </c>
      <c r="AP7" s="139">
        <v>29133</v>
      </c>
      <c r="AQ7" s="139" t="s">
        <v>832</v>
      </c>
      <c r="AR7" s="139">
        <v>69941</v>
      </c>
      <c r="AS7" s="139">
        <v>1368</v>
      </c>
      <c r="AT7" s="139">
        <v>550</v>
      </c>
      <c r="AU7" s="139">
        <v>566</v>
      </c>
      <c r="AV7" s="139">
        <v>77</v>
      </c>
      <c r="AW7" s="139" t="s">
        <v>833</v>
      </c>
      <c r="AX7" s="139">
        <v>30917</v>
      </c>
      <c r="AY7" s="139">
        <v>444</v>
      </c>
      <c r="AZ7" s="139">
        <v>180</v>
      </c>
      <c r="BA7" s="139">
        <v>95</v>
      </c>
      <c r="BB7" s="139">
        <v>169</v>
      </c>
      <c r="BC7" s="139" t="s">
        <v>834</v>
      </c>
      <c r="BD7" s="139">
        <v>10658</v>
      </c>
      <c r="BE7" s="139">
        <v>4066</v>
      </c>
      <c r="BF7" s="139">
        <v>3068</v>
      </c>
      <c r="BG7" s="139" t="s">
        <v>835</v>
      </c>
      <c r="BH7" s="139">
        <v>110</v>
      </c>
      <c r="BI7" s="139" t="s">
        <v>836</v>
      </c>
      <c r="BJ7" s="139">
        <v>20648</v>
      </c>
      <c r="BK7" s="139">
        <v>5464</v>
      </c>
      <c r="BL7" s="139">
        <v>26.46</v>
      </c>
    </row>
    <row r="8" spans="1:64" ht="57.6" x14ac:dyDescent="0.3">
      <c r="A8" s="139">
        <v>2</v>
      </c>
      <c r="B8" s="139" t="s">
        <v>275</v>
      </c>
      <c r="C8" s="139">
        <v>8481</v>
      </c>
      <c r="D8" s="139">
        <v>778</v>
      </c>
      <c r="E8" s="139">
        <v>9.17</v>
      </c>
      <c r="F8" s="142">
        <v>796</v>
      </c>
      <c r="G8" s="142">
        <v>9.39</v>
      </c>
      <c r="H8" s="139">
        <v>2210</v>
      </c>
      <c r="I8" s="139" t="s">
        <v>837</v>
      </c>
      <c r="J8" s="139">
        <v>973</v>
      </c>
      <c r="K8" s="139" t="s">
        <v>838</v>
      </c>
      <c r="L8" s="139">
        <v>1069</v>
      </c>
      <c r="M8" s="139">
        <v>637</v>
      </c>
      <c r="N8" s="139" t="s">
        <v>839</v>
      </c>
      <c r="O8" s="139">
        <v>578</v>
      </c>
      <c r="P8" s="139" t="s">
        <v>840</v>
      </c>
      <c r="Q8" s="139">
        <v>7864</v>
      </c>
      <c r="R8" s="139" t="s">
        <v>547</v>
      </c>
      <c r="S8" s="139">
        <v>118980</v>
      </c>
      <c r="T8" s="139">
        <v>70835</v>
      </c>
      <c r="U8" s="139">
        <v>70548</v>
      </c>
      <c r="V8" s="139">
        <v>99.59</v>
      </c>
      <c r="W8" s="139">
        <v>70504</v>
      </c>
      <c r="X8" s="139" t="s">
        <v>841</v>
      </c>
      <c r="Y8" s="139">
        <v>54547</v>
      </c>
      <c r="Z8" s="139">
        <v>31462</v>
      </c>
      <c r="AA8" s="139">
        <v>2892</v>
      </c>
      <c r="AB8" s="139" t="s">
        <v>842</v>
      </c>
      <c r="AC8" s="139">
        <v>31335</v>
      </c>
      <c r="AD8" s="139" t="s">
        <v>843</v>
      </c>
      <c r="AE8" s="139">
        <v>50706</v>
      </c>
      <c r="AF8" s="139">
        <v>6113</v>
      </c>
      <c r="AG8" s="139" t="s">
        <v>844</v>
      </c>
      <c r="AH8" s="139">
        <v>191342</v>
      </c>
      <c r="AI8" s="139">
        <v>21355</v>
      </c>
      <c r="AJ8" s="139" t="s">
        <v>845</v>
      </c>
      <c r="AK8" s="142">
        <v>242048</v>
      </c>
      <c r="AL8" s="142">
        <v>27468</v>
      </c>
      <c r="AM8" s="142">
        <v>11.35</v>
      </c>
      <c r="AN8" s="139">
        <v>64787</v>
      </c>
      <c r="AO8" s="139" t="s">
        <v>846</v>
      </c>
      <c r="AP8" s="139">
        <v>23949</v>
      </c>
      <c r="AQ8" s="139" t="s">
        <v>847</v>
      </c>
      <c r="AR8" s="139">
        <v>77573</v>
      </c>
      <c r="AS8" s="139">
        <v>1573</v>
      </c>
      <c r="AT8" s="139">
        <v>106</v>
      </c>
      <c r="AU8" s="139">
        <v>101</v>
      </c>
      <c r="AV8" s="139">
        <v>141</v>
      </c>
      <c r="AW8" s="139" t="s">
        <v>848</v>
      </c>
      <c r="AX8" s="139">
        <v>27016</v>
      </c>
      <c r="AY8" s="139">
        <v>476</v>
      </c>
      <c r="AZ8" s="139">
        <v>44</v>
      </c>
      <c r="BA8" s="139">
        <v>11</v>
      </c>
      <c r="BB8" s="139">
        <v>45</v>
      </c>
      <c r="BC8" s="139" t="s">
        <v>849</v>
      </c>
      <c r="BD8" s="139">
        <v>18023</v>
      </c>
      <c r="BE8" s="139">
        <v>7310</v>
      </c>
      <c r="BF8" s="139">
        <v>2653</v>
      </c>
      <c r="BG8" s="139" t="s">
        <v>850</v>
      </c>
      <c r="BH8" s="139">
        <v>167</v>
      </c>
      <c r="BI8" s="139" t="s">
        <v>851</v>
      </c>
      <c r="BJ8" s="139">
        <v>17539</v>
      </c>
      <c r="BK8" s="139">
        <v>8010</v>
      </c>
      <c r="BL8" s="139">
        <v>45.67</v>
      </c>
    </row>
    <row r="9" spans="1:64" ht="57.6" x14ac:dyDescent="0.3">
      <c r="A9" s="139">
        <v>3</v>
      </c>
      <c r="B9" s="139" t="s">
        <v>276</v>
      </c>
      <c r="C9" s="139">
        <v>5138</v>
      </c>
      <c r="D9" s="139">
        <v>446</v>
      </c>
      <c r="E9" s="139">
        <v>8.68</v>
      </c>
      <c r="F9" s="142">
        <v>470</v>
      </c>
      <c r="G9" s="142">
        <v>9.15</v>
      </c>
      <c r="H9" s="139">
        <v>1492</v>
      </c>
      <c r="I9" s="139" t="s">
        <v>852</v>
      </c>
      <c r="J9" s="139">
        <v>663</v>
      </c>
      <c r="K9" s="139" t="s">
        <v>853</v>
      </c>
      <c r="L9" s="139">
        <v>665</v>
      </c>
      <c r="M9" s="139">
        <v>384</v>
      </c>
      <c r="N9" s="139" t="s">
        <v>854</v>
      </c>
      <c r="O9" s="139">
        <v>311</v>
      </c>
      <c r="P9" s="139" t="s">
        <v>855</v>
      </c>
      <c r="Q9" s="139">
        <v>4796</v>
      </c>
      <c r="R9" s="139" t="s">
        <v>856</v>
      </c>
      <c r="S9" s="139">
        <v>82377</v>
      </c>
      <c r="T9" s="139">
        <v>44701</v>
      </c>
      <c r="U9" s="139">
        <v>43075</v>
      </c>
      <c r="V9" s="139">
        <v>96.36</v>
      </c>
      <c r="W9" s="139">
        <v>44707</v>
      </c>
      <c r="X9" s="140" t="s">
        <v>857</v>
      </c>
      <c r="Y9" s="139">
        <v>31950</v>
      </c>
      <c r="Z9" s="139">
        <v>18823</v>
      </c>
      <c r="AA9" s="139">
        <v>2061</v>
      </c>
      <c r="AB9" s="139" t="s">
        <v>537</v>
      </c>
      <c r="AC9" s="139">
        <v>18740</v>
      </c>
      <c r="AD9" s="139" t="s">
        <v>858</v>
      </c>
      <c r="AE9" s="139">
        <v>13008</v>
      </c>
      <c r="AF9" s="139">
        <v>3405</v>
      </c>
      <c r="AG9" s="139" t="s">
        <v>859</v>
      </c>
      <c r="AH9" s="139">
        <v>52649</v>
      </c>
      <c r="AI9" s="139">
        <v>12263</v>
      </c>
      <c r="AJ9" s="139" t="s">
        <v>860</v>
      </c>
      <c r="AK9" s="142">
        <v>65657</v>
      </c>
      <c r="AL9" s="142">
        <v>15668</v>
      </c>
      <c r="AM9" s="142">
        <v>23.86</v>
      </c>
      <c r="AN9" s="139">
        <v>29910</v>
      </c>
      <c r="AO9" s="139" t="s">
        <v>861</v>
      </c>
      <c r="AP9" s="139">
        <v>6732</v>
      </c>
      <c r="AQ9" s="139" t="s">
        <v>862</v>
      </c>
      <c r="AR9" s="139">
        <v>51638</v>
      </c>
      <c r="AS9" s="139">
        <v>206</v>
      </c>
      <c r="AT9" s="139">
        <v>79</v>
      </c>
      <c r="AU9" s="139">
        <v>65</v>
      </c>
      <c r="AV9" s="139">
        <v>104</v>
      </c>
      <c r="AW9" s="139" t="s">
        <v>863</v>
      </c>
      <c r="AX9" s="139">
        <v>5733</v>
      </c>
      <c r="AY9" s="139">
        <v>40</v>
      </c>
      <c r="AZ9" s="139">
        <v>5</v>
      </c>
      <c r="BA9" s="139">
        <v>32</v>
      </c>
      <c r="BB9" s="139">
        <v>346</v>
      </c>
      <c r="BC9" s="140">
        <v>840</v>
      </c>
      <c r="BD9" s="139">
        <v>12780</v>
      </c>
      <c r="BE9" s="139">
        <v>2445</v>
      </c>
      <c r="BF9" s="139">
        <v>770</v>
      </c>
      <c r="BG9" s="139" t="s">
        <v>864</v>
      </c>
      <c r="BH9" s="139">
        <v>29</v>
      </c>
      <c r="BI9" s="139" t="s">
        <v>865</v>
      </c>
      <c r="BJ9" s="139">
        <v>11237</v>
      </c>
      <c r="BK9" s="139">
        <v>3768</v>
      </c>
      <c r="BL9" s="139">
        <v>33.53</v>
      </c>
    </row>
    <row r="10" spans="1:64" ht="57.6" x14ac:dyDescent="0.3">
      <c r="A10" s="139">
        <v>4</v>
      </c>
      <c r="B10" s="139" t="s">
        <v>277</v>
      </c>
      <c r="C10" s="139">
        <v>3955</v>
      </c>
      <c r="D10" s="139">
        <v>400</v>
      </c>
      <c r="E10" s="139">
        <v>10.11</v>
      </c>
      <c r="F10" s="142">
        <v>319</v>
      </c>
      <c r="G10" s="142">
        <v>8.07</v>
      </c>
      <c r="H10" s="139">
        <v>949</v>
      </c>
      <c r="I10" s="139" t="s">
        <v>866</v>
      </c>
      <c r="J10" s="139">
        <v>624</v>
      </c>
      <c r="K10" s="139" t="s">
        <v>867</v>
      </c>
      <c r="L10" s="139">
        <v>500</v>
      </c>
      <c r="M10" s="139">
        <v>214</v>
      </c>
      <c r="N10" s="139" t="s">
        <v>868</v>
      </c>
      <c r="O10" s="139">
        <v>195</v>
      </c>
      <c r="P10" s="139" t="s">
        <v>869</v>
      </c>
      <c r="Q10" s="139">
        <v>3382</v>
      </c>
      <c r="R10" s="139" t="s">
        <v>870</v>
      </c>
      <c r="S10" s="139">
        <v>70831</v>
      </c>
      <c r="T10" s="139">
        <v>44533</v>
      </c>
      <c r="U10" s="139">
        <v>42224</v>
      </c>
      <c r="V10" s="139">
        <v>94.82</v>
      </c>
      <c r="W10" s="139">
        <v>44366</v>
      </c>
      <c r="X10" s="139" t="s">
        <v>871</v>
      </c>
      <c r="Y10" s="139">
        <v>30807</v>
      </c>
      <c r="Z10" s="139">
        <v>19883</v>
      </c>
      <c r="AA10" s="139">
        <v>1956</v>
      </c>
      <c r="AB10" s="139" t="s">
        <v>540</v>
      </c>
      <c r="AC10" s="139">
        <v>19816</v>
      </c>
      <c r="AD10" s="139" t="s">
        <v>872</v>
      </c>
      <c r="AE10" s="139">
        <v>30809</v>
      </c>
      <c r="AF10" s="139">
        <v>2917</v>
      </c>
      <c r="AG10" s="139" t="s">
        <v>873</v>
      </c>
      <c r="AH10" s="139">
        <v>115380</v>
      </c>
      <c r="AI10" s="139">
        <v>10140</v>
      </c>
      <c r="AJ10" s="139" t="s">
        <v>874</v>
      </c>
      <c r="AK10" s="142">
        <v>146189</v>
      </c>
      <c r="AL10" s="142">
        <v>13057</v>
      </c>
      <c r="AM10" s="142">
        <v>8.93</v>
      </c>
      <c r="AN10" s="139">
        <v>27654</v>
      </c>
      <c r="AO10" s="139" t="s">
        <v>875</v>
      </c>
      <c r="AP10" s="139">
        <v>17037</v>
      </c>
      <c r="AQ10" s="139" t="s">
        <v>876</v>
      </c>
      <c r="AR10" s="139">
        <v>48579</v>
      </c>
      <c r="AS10" s="139">
        <v>1394</v>
      </c>
      <c r="AT10" s="139">
        <v>95</v>
      </c>
      <c r="AU10" s="139">
        <v>82</v>
      </c>
      <c r="AV10" s="139">
        <v>39</v>
      </c>
      <c r="AW10" s="139" t="s">
        <v>877</v>
      </c>
      <c r="AX10" s="139">
        <v>18751</v>
      </c>
      <c r="AY10" s="139">
        <v>213</v>
      </c>
      <c r="AZ10" s="139">
        <v>108</v>
      </c>
      <c r="BA10" s="139">
        <v>7</v>
      </c>
      <c r="BB10" s="139">
        <v>29</v>
      </c>
      <c r="BC10" s="139" t="s">
        <v>878</v>
      </c>
      <c r="BD10" s="139">
        <v>13030</v>
      </c>
      <c r="BE10" s="139">
        <v>4263</v>
      </c>
      <c r="BF10" s="139">
        <v>643</v>
      </c>
      <c r="BG10" s="139" t="s">
        <v>879</v>
      </c>
      <c r="BH10" s="139">
        <v>5</v>
      </c>
      <c r="BI10" s="139" t="s">
        <v>880</v>
      </c>
      <c r="BJ10" s="139">
        <v>10530</v>
      </c>
      <c r="BK10" s="139">
        <v>5259</v>
      </c>
      <c r="BL10" s="139">
        <v>49.94</v>
      </c>
    </row>
    <row r="11" spans="1:64" ht="57.6" x14ac:dyDescent="0.3">
      <c r="A11" s="139">
        <v>5</v>
      </c>
      <c r="B11" s="139" t="s">
        <v>279</v>
      </c>
      <c r="C11" s="139">
        <v>3199</v>
      </c>
      <c r="D11" s="139">
        <v>348</v>
      </c>
      <c r="E11" s="139">
        <v>10.88</v>
      </c>
      <c r="F11" s="142">
        <v>244</v>
      </c>
      <c r="G11" s="142">
        <v>7.63</v>
      </c>
      <c r="H11" s="139">
        <v>830</v>
      </c>
      <c r="I11" s="139" t="s">
        <v>881</v>
      </c>
      <c r="J11" s="139">
        <v>483</v>
      </c>
      <c r="K11" s="139" t="s">
        <v>882</v>
      </c>
      <c r="L11" s="139">
        <v>349</v>
      </c>
      <c r="M11" s="139">
        <v>101</v>
      </c>
      <c r="N11" s="139" t="s">
        <v>883</v>
      </c>
      <c r="O11" s="139">
        <v>98</v>
      </c>
      <c r="P11" s="139" t="s">
        <v>884</v>
      </c>
      <c r="Q11" s="139">
        <v>2640</v>
      </c>
      <c r="R11" s="139" t="s">
        <v>885</v>
      </c>
      <c r="S11" s="139">
        <v>66775</v>
      </c>
      <c r="T11" s="139">
        <v>54809</v>
      </c>
      <c r="U11" s="139">
        <v>53823</v>
      </c>
      <c r="V11" s="139">
        <v>98.2</v>
      </c>
      <c r="W11" s="139">
        <v>54585</v>
      </c>
      <c r="X11" s="139" t="s">
        <v>886</v>
      </c>
      <c r="Y11" s="139">
        <v>30411</v>
      </c>
      <c r="Z11" s="139">
        <v>13312</v>
      </c>
      <c r="AA11" s="139">
        <v>317</v>
      </c>
      <c r="AB11" s="139" t="s">
        <v>887</v>
      </c>
      <c r="AC11" s="139">
        <v>13075</v>
      </c>
      <c r="AD11" s="139" t="s">
        <v>536</v>
      </c>
      <c r="AE11" s="139">
        <v>22501</v>
      </c>
      <c r="AF11" s="139">
        <v>664</v>
      </c>
      <c r="AG11" s="139" t="s">
        <v>888</v>
      </c>
      <c r="AH11" s="139">
        <v>85294</v>
      </c>
      <c r="AI11" s="139">
        <v>1869</v>
      </c>
      <c r="AJ11" s="139" t="s">
        <v>889</v>
      </c>
      <c r="AK11" s="142">
        <v>107795</v>
      </c>
      <c r="AL11" s="142">
        <v>2533</v>
      </c>
      <c r="AM11" s="142">
        <v>2.35</v>
      </c>
      <c r="AN11" s="139">
        <v>15984</v>
      </c>
      <c r="AO11" s="139" t="s">
        <v>890</v>
      </c>
      <c r="AP11" s="139">
        <v>8976</v>
      </c>
      <c r="AQ11" s="139" t="s">
        <v>891</v>
      </c>
      <c r="AR11" s="139">
        <v>24071</v>
      </c>
      <c r="AS11" s="139">
        <v>870</v>
      </c>
      <c r="AT11" s="139">
        <v>74</v>
      </c>
      <c r="AU11" s="139">
        <v>90</v>
      </c>
      <c r="AV11" s="139">
        <v>180</v>
      </c>
      <c r="AW11" s="139" t="s">
        <v>892</v>
      </c>
      <c r="AX11" s="139">
        <v>6495</v>
      </c>
      <c r="AY11" s="139">
        <v>296</v>
      </c>
      <c r="AZ11" s="139">
        <v>28</v>
      </c>
      <c r="BA11" s="139">
        <v>89</v>
      </c>
      <c r="BB11" s="139">
        <v>28</v>
      </c>
      <c r="BC11" s="139" t="s">
        <v>893</v>
      </c>
      <c r="BD11" s="139">
        <v>1698</v>
      </c>
      <c r="BE11" s="139">
        <v>690</v>
      </c>
      <c r="BF11" s="139">
        <v>811</v>
      </c>
      <c r="BG11" s="139" t="s">
        <v>894</v>
      </c>
      <c r="BH11" s="139">
        <v>0</v>
      </c>
      <c r="BI11" s="139">
        <v>0</v>
      </c>
      <c r="BJ11" s="139">
        <v>7564</v>
      </c>
      <c r="BK11" s="139">
        <v>4729</v>
      </c>
      <c r="BL11" s="139">
        <v>62.52</v>
      </c>
    </row>
    <row r="12" spans="1:64" ht="57.6" x14ac:dyDescent="0.3">
      <c r="A12" s="139">
        <v>6</v>
      </c>
      <c r="B12" s="139" t="s">
        <v>280</v>
      </c>
      <c r="C12" s="139">
        <v>1606</v>
      </c>
      <c r="D12" s="139">
        <v>140</v>
      </c>
      <c r="E12" s="139">
        <v>8.7200000000000006</v>
      </c>
      <c r="F12" s="142">
        <v>103</v>
      </c>
      <c r="G12" s="142">
        <v>6.41</v>
      </c>
      <c r="H12" s="139">
        <v>555</v>
      </c>
      <c r="I12" s="139" t="s">
        <v>895</v>
      </c>
      <c r="J12" s="139">
        <v>174</v>
      </c>
      <c r="K12" s="139" t="s">
        <v>896</v>
      </c>
      <c r="L12" s="139">
        <v>177</v>
      </c>
      <c r="M12" s="139">
        <v>61</v>
      </c>
      <c r="N12" s="139" t="s">
        <v>897</v>
      </c>
      <c r="O12" s="139">
        <v>54</v>
      </c>
      <c r="P12" s="139" t="s">
        <v>659</v>
      </c>
      <c r="Q12" s="139">
        <v>1391</v>
      </c>
      <c r="R12" s="139" t="s">
        <v>898</v>
      </c>
      <c r="S12" s="139">
        <v>39377</v>
      </c>
      <c r="T12" s="139">
        <v>27824</v>
      </c>
      <c r="U12" s="139">
        <v>27352</v>
      </c>
      <c r="V12" s="139">
        <v>98.3</v>
      </c>
      <c r="W12" s="139">
        <v>27527</v>
      </c>
      <c r="X12" s="139" t="s">
        <v>899</v>
      </c>
      <c r="Y12" s="139">
        <v>14956</v>
      </c>
      <c r="Z12" s="139">
        <v>7539</v>
      </c>
      <c r="AA12" s="139">
        <v>373</v>
      </c>
      <c r="AB12" s="139" t="s">
        <v>900</v>
      </c>
      <c r="AC12" s="139">
        <v>7455</v>
      </c>
      <c r="AD12" s="139" t="s">
        <v>901</v>
      </c>
      <c r="AE12" s="139">
        <v>6938</v>
      </c>
      <c r="AF12" s="139">
        <v>746</v>
      </c>
      <c r="AG12" s="139" t="s">
        <v>902</v>
      </c>
      <c r="AH12" s="139">
        <v>27236</v>
      </c>
      <c r="AI12" s="139">
        <v>2721</v>
      </c>
      <c r="AJ12" s="139" t="s">
        <v>903</v>
      </c>
      <c r="AK12" s="142">
        <v>34174</v>
      </c>
      <c r="AL12" s="142">
        <v>3467</v>
      </c>
      <c r="AM12" s="142">
        <v>10.15</v>
      </c>
      <c r="AN12" s="139">
        <v>6160</v>
      </c>
      <c r="AO12" s="139" t="s">
        <v>904</v>
      </c>
      <c r="AP12" s="139">
        <v>2348</v>
      </c>
      <c r="AQ12" s="139" t="s">
        <v>905</v>
      </c>
      <c r="AR12" s="139">
        <v>11628</v>
      </c>
      <c r="AS12" s="139">
        <v>241</v>
      </c>
      <c r="AT12" s="139">
        <v>9</v>
      </c>
      <c r="AU12" s="139">
        <v>31</v>
      </c>
      <c r="AV12" s="139">
        <v>24</v>
      </c>
      <c r="AW12" s="139">
        <v>22</v>
      </c>
      <c r="AX12" s="139">
        <v>5228</v>
      </c>
      <c r="AY12" s="139">
        <v>434</v>
      </c>
      <c r="AZ12" s="139">
        <v>13</v>
      </c>
      <c r="BA12" s="139">
        <v>1</v>
      </c>
      <c r="BB12" s="139">
        <v>18</v>
      </c>
      <c r="BC12" s="139" t="s">
        <v>906</v>
      </c>
      <c r="BD12" s="139">
        <v>1990</v>
      </c>
      <c r="BE12" s="139">
        <v>919</v>
      </c>
      <c r="BF12" s="139">
        <v>618</v>
      </c>
      <c r="BG12" s="139" t="s">
        <v>907</v>
      </c>
      <c r="BH12" s="139">
        <v>1</v>
      </c>
      <c r="BI12" s="139" t="s">
        <v>908</v>
      </c>
      <c r="BJ12" s="139">
        <v>3588</v>
      </c>
      <c r="BK12" s="139">
        <v>1146</v>
      </c>
      <c r="BL12" s="139">
        <v>31.94</v>
      </c>
    </row>
    <row r="13" spans="1:64" ht="57.6" x14ac:dyDescent="0.3">
      <c r="A13" s="139">
        <v>7</v>
      </c>
      <c r="B13" s="139" t="s">
        <v>281</v>
      </c>
      <c r="C13" s="139">
        <v>1690</v>
      </c>
      <c r="D13" s="139">
        <v>149</v>
      </c>
      <c r="E13" s="139">
        <v>8.82</v>
      </c>
      <c r="F13" s="142">
        <v>115</v>
      </c>
      <c r="G13" s="142">
        <v>6.8</v>
      </c>
      <c r="H13" s="139">
        <v>453</v>
      </c>
      <c r="I13" s="139" t="s">
        <v>909</v>
      </c>
      <c r="J13" s="139">
        <v>188</v>
      </c>
      <c r="K13" s="139" t="s">
        <v>910</v>
      </c>
      <c r="L13" s="139">
        <v>194</v>
      </c>
      <c r="M13" s="139">
        <v>65</v>
      </c>
      <c r="N13" s="139" t="s">
        <v>911</v>
      </c>
      <c r="O13" s="139">
        <v>46</v>
      </c>
      <c r="P13" s="139">
        <v>40</v>
      </c>
      <c r="Q13" s="139">
        <v>1572</v>
      </c>
      <c r="R13" s="139" t="s">
        <v>912</v>
      </c>
      <c r="S13" s="139">
        <v>34941</v>
      </c>
      <c r="T13" s="139">
        <v>36503</v>
      </c>
      <c r="U13" s="139">
        <v>35421</v>
      </c>
      <c r="V13" s="139">
        <v>97.04</v>
      </c>
      <c r="W13" s="139">
        <v>36469</v>
      </c>
      <c r="X13" s="139" t="s">
        <v>913</v>
      </c>
      <c r="Y13" s="139">
        <v>18885</v>
      </c>
      <c r="Z13" s="139">
        <v>7813</v>
      </c>
      <c r="AA13" s="139">
        <v>285</v>
      </c>
      <c r="AB13" s="139" t="s">
        <v>914</v>
      </c>
      <c r="AC13" s="139">
        <v>7730</v>
      </c>
      <c r="AD13" s="139" t="s">
        <v>915</v>
      </c>
      <c r="AE13" s="139">
        <v>7653</v>
      </c>
      <c r="AF13" s="139">
        <v>142</v>
      </c>
      <c r="AG13" s="139" t="s">
        <v>916</v>
      </c>
      <c r="AH13" s="139">
        <v>29469</v>
      </c>
      <c r="AI13" s="139">
        <v>514</v>
      </c>
      <c r="AJ13" s="139" t="s">
        <v>917</v>
      </c>
      <c r="AK13" s="142">
        <v>37122</v>
      </c>
      <c r="AL13" s="142">
        <v>656</v>
      </c>
      <c r="AM13" s="142">
        <v>1.77</v>
      </c>
      <c r="AN13" s="139">
        <v>11590</v>
      </c>
      <c r="AO13" s="139" t="s">
        <v>918</v>
      </c>
      <c r="AP13" s="139">
        <v>3912</v>
      </c>
      <c r="AQ13" s="139" t="s">
        <v>919</v>
      </c>
      <c r="AR13" s="139">
        <v>13859</v>
      </c>
      <c r="AS13" s="139">
        <v>172</v>
      </c>
      <c r="AT13" s="139">
        <v>19</v>
      </c>
      <c r="AU13" s="139">
        <v>29</v>
      </c>
      <c r="AV13" s="139">
        <v>4</v>
      </c>
      <c r="AW13" s="139" t="s">
        <v>920</v>
      </c>
      <c r="AX13" s="139">
        <v>4313</v>
      </c>
      <c r="AY13" s="139">
        <v>265</v>
      </c>
      <c r="AZ13" s="139">
        <v>0</v>
      </c>
      <c r="BA13" s="139">
        <v>0</v>
      </c>
      <c r="BB13" s="139">
        <v>0</v>
      </c>
      <c r="BC13" s="139">
        <v>0</v>
      </c>
      <c r="BD13" s="139">
        <v>1665</v>
      </c>
      <c r="BE13" s="139">
        <v>536</v>
      </c>
      <c r="BF13" s="139">
        <v>703</v>
      </c>
      <c r="BG13" s="139" t="s">
        <v>921</v>
      </c>
      <c r="BH13" s="139">
        <v>6</v>
      </c>
      <c r="BI13" s="139" t="s">
        <v>922</v>
      </c>
      <c r="BJ13" s="139">
        <v>4242</v>
      </c>
      <c r="BK13" s="139">
        <v>417</v>
      </c>
      <c r="BL13" s="139">
        <v>9.83</v>
      </c>
    </row>
    <row r="14" spans="1:64" ht="57.6" x14ac:dyDescent="0.3">
      <c r="A14" s="139">
        <v>8</v>
      </c>
      <c r="B14" s="139" t="s">
        <v>282</v>
      </c>
      <c r="C14" s="139">
        <v>1511</v>
      </c>
      <c r="D14" s="139">
        <v>180</v>
      </c>
      <c r="E14" s="139">
        <v>11.91</v>
      </c>
      <c r="F14" s="142">
        <v>108</v>
      </c>
      <c r="G14" s="142">
        <v>7.15</v>
      </c>
      <c r="H14" s="139">
        <v>480</v>
      </c>
      <c r="I14" s="139" t="s">
        <v>923</v>
      </c>
      <c r="J14" s="139">
        <v>224</v>
      </c>
      <c r="K14" s="139" t="s">
        <v>924</v>
      </c>
      <c r="L14" s="139">
        <v>154</v>
      </c>
      <c r="M14" s="139">
        <v>29</v>
      </c>
      <c r="N14" s="139" t="s">
        <v>925</v>
      </c>
      <c r="O14" s="139">
        <v>27</v>
      </c>
      <c r="P14" s="139">
        <v>25</v>
      </c>
      <c r="Q14" s="139">
        <v>1436</v>
      </c>
      <c r="R14" s="139" t="s">
        <v>926</v>
      </c>
      <c r="S14" s="139">
        <v>56988</v>
      </c>
      <c r="T14" s="139">
        <v>52299</v>
      </c>
      <c r="U14" s="139">
        <v>50091</v>
      </c>
      <c r="V14" s="139">
        <v>95.78</v>
      </c>
      <c r="W14" s="139">
        <v>52104</v>
      </c>
      <c r="X14" s="139" t="s">
        <v>927</v>
      </c>
      <c r="Y14" s="139">
        <v>21840</v>
      </c>
      <c r="Z14" s="139">
        <v>9766</v>
      </c>
      <c r="AA14" s="139">
        <v>293</v>
      </c>
      <c r="AB14" s="139">
        <v>3</v>
      </c>
      <c r="AC14" s="139">
        <v>9722</v>
      </c>
      <c r="AD14" s="139" t="s">
        <v>429</v>
      </c>
      <c r="AE14" s="139">
        <v>18806</v>
      </c>
      <c r="AF14" s="139">
        <v>683</v>
      </c>
      <c r="AG14" s="139" t="s">
        <v>928</v>
      </c>
      <c r="AH14" s="139">
        <v>68633</v>
      </c>
      <c r="AI14" s="139">
        <v>2307</v>
      </c>
      <c r="AJ14" s="139" t="s">
        <v>929</v>
      </c>
      <c r="AK14" s="142">
        <v>87439</v>
      </c>
      <c r="AL14" s="142">
        <v>2990</v>
      </c>
      <c r="AM14" s="142">
        <v>3.42</v>
      </c>
      <c r="AN14" s="139">
        <v>20218</v>
      </c>
      <c r="AO14" s="139" t="s">
        <v>930</v>
      </c>
      <c r="AP14" s="139">
        <v>9567</v>
      </c>
      <c r="AQ14" s="139" t="s">
        <v>931</v>
      </c>
      <c r="AR14" s="139">
        <v>18275</v>
      </c>
      <c r="AS14" s="139">
        <v>143</v>
      </c>
      <c r="AT14" s="139">
        <v>5</v>
      </c>
      <c r="AU14" s="139">
        <v>99</v>
      </c>
      <c r="AV14" s="139">
        <v>70</v>
      </c>
      <c r="AW14" s="140" t="s">
        <v>932</v>
      </c>
      <c r="AX14" s="139">
        <v>7212</v>
      </c>
      <c r="AY14" s="139">
        <v>271</v>
      </c>
      <c r="AZ14" s="139">
        <v>5</v>
      </c>
      <c r="BA14" s="139">
        <v>20</v>
      </c>
      <c r="BB14" s="139">
        <v>4</v>
      </c>
      <c r="BC14" s="139" t="s">
        <v>933</v>
      </c>
      <c r="BD14" s="139">
        <v>1524</v>
      </c>
      <c r="BE14" s="139">
        <v>705</v>
      </c>
      <c r="BF14" s="139">
        <v>669</v>
      </c>
      <c r="BG14" s="139" t="s">
        <v>934</v>
      </c>
      <c r="BH14" s="139">
        <v>0</v>
      </c>
      <c r="BI14" s="139">
        <v>0</v>
      </c>
      <c r="BJ14" s="139">
        <v>5141</v>
      </c>
      <c r="BK14" s="139">
        <v>1633</v>
      </c>
      <c r="BL14" s="139">
        <v>31.76</v>
      </c>
    </row>
    <row r="15" spans="1:64" ht="57.6" x14ac:dyDescent="0.3">
      <c r="A15" s="139">
        <v>9</v>
      </c>
      <c r="B15" s="139" t="s">
        <v>283</v>
      </c>
      <c r="C15" s="139">
        <v>2798</v>
      </c>
      <c r="D15" s="139">
        <v>379</v>
      </c>
      <c r="E15" s="139">
        <v>13.55</v>
      </c>
      <c r="F15" s="142">
        <v>136</v>
      </c>
      <c r="G15" s="142">
        <v>4.8600000000000003</v>
      </c>
      <c r="H15" s="139">
        <v>601</v>
      </c>
      <c r="I15" s="139" t="s">
        <v>935</v>
      </c>
      <c r="J15" s="139">
        <v>222</v>
      </c>
      <c r="K15" s="139" t="s">
        <v>936</v>
      </c>
      <c r="L15" s="139">
        <v>351</v>
      </c>
      <c r="M15" s="139">
        <v>68</v>
      </c>
      <c r="N15" s="139" t="s">
        <v>937</v>
      </c>
      <c r="O15" s="139">
        <v>57</v>
      </c>
      <c r="P15" s="139" t="s">
        <v>938</v>
      </c>
      <c r="Q15" s="139">
        <v>2649</v>
      </c>
      <c r="R15" s="139" t="s">
        <v>939</v>
      </c>
      <c r="S15" s="139">
        <v>57604</v>
      </c>
      <c r="T15" s="139">
        <v>44415</v>
      </c>
      <c r="U15" s="139">
        <v>42790</v>
      </c>
      <c r="V15" s="139">
        <v>96.34</v>
      </c>
      <c r="W15" s="139">
        <v>37901</v>
      </c>
      <c r="X15" s="139" t="s">
        <v>940</v>
      </c>
      <c r="Y15" s="139">
        <v>24661</v>
      </c>
      <c r="Z15" s="139">
        <v>19135</v>
      </c>
      <c r="AA15" s="139">
        <v>437</v>
      </c>
      <c r="AB15" s="139" t="s">
        <v>941</v>
      </c>
      <c r="AC15" s="139">
        <v>13785</v>
      </c>
      <c r="AD15" s="139" t="s">
        <v>942</v>
      </c>
      <c r="AE15" s="139">
        <v>24663</v>
      </c>
      <c r="AF15" s="139">
        <v>804</v>
      </c>
      <c r="AG15" s="139" t="s">
        <v>943</v>
      </c>
      <c r="AH15" s="139">
        <v>99441</v>
      </c>
      <c r="AI15" s="139">
        <v>2713</v>
      </c>
      <c r="AJ15" s="139" t="s">
        <v>944</v>
      </c>
      <c r="AK15" s="142">
        <v>124104</v>
      </c>
      <c r="AL15" s="142">
        <v>3517</v>
      </c>
      <c r="AM15" s="142">
        <v>2.83</v>
      </c>
      <c r="AN15" s="139">
        <v>31407</v>
      </c>
      <c r="AO15" s="139" t="s">
        <v>945</v>
      </c>
      <c r="AP15" s="139">
        <v>13609</v>
      </c>
      <c r="AQ15" s="139" t="s">
        <v>946</v>
      </c>
      <c r="AR15" s="139">
        <v>48147</v>
      </c>
      <c r="AS15" s="139">
        <v>545</v>
      </c>
      <c r="AT15" s="139">
        <v>117</v>
      </c>
      <c r="AU15" s="139">
        <v>95</v>
      </c>
      <c r="AV15" s="139">
        <v>48</v>
      </c>
      <c r="AW15" s="139" t="s">
        <v>947</v>
      </c>
      <c r="AX15" s="139">
        <v>16889</v>
      </c>
      <c r="AY15" s="139">
        <v>364</v>
      </c>
      <c r="AZ15" s="139">
        <v>118</v>
      </c>
      <c r="BA15" s="139">
        <v>9</v>
      </c>
      <c r="BB15" s="139">
        <v>132</v>
      </c>
      <c r="BC15" s="139" t="s">
        <v>948</v>
      </c>
      <c r="BD15" s="139">
        <v>6154</v>
      </c>
      <c r="BE15" s="139">
        <v>2046</v>
      </c>
      <c r="BF15" s="139">
        <v>1507</v>
      </c>
      <c r="BG15" s="139" t="s">
        <v>949</v>
      </c>
      <c r="BH15" s="139">
        <v>28</v>
      </c>
      <c r="BI15" s="139" t="s">
        <v>865</v>
      </c>
      <c r="BJ15" s="139">
        <v>8344</v>
      </c>
      <c r="BK15" s="139">
        <v>1860</v>
      </c>
      <c r="BL15" s="139">
        <v>22.29</v>
      </c>
    </row>
    <row r="16" spans="1:64" ht="43.2" x14ac:dyDescent="0.3">
      <c r="A16" s="139">
        <v>10</v>
      </c>
      <c r="B16" s="139" t="s">
        <v>284</v>
      </c>
      <c r="C16" s="139">
        <v>4960</v>
      </c>
      <c r="D16" s="139">
        <v>571</v>
      </c>
      <c r="E16" s="139">
        <v>11.51</v>
      </c>
      <c r="F16" s="142">
        <v>398</v>
      </c>
      <c r="G16" s="142">
        <v>8.02</v>
      </c>
      <c r="H16" s="139">
        <v>1394</v>
      </c>
      <c r="I16" s="139" t="s">
        <v>950</v>
      </c>
      <c r="J16" s="139">
        <v>422</v>
      </c>
      <c r="K16" s="139" t="s">
        <v>951</v>
      </c>
      <c r="L16" s="139">
        <v>742</v>
      </c>
      <c r="M16" s="139">
        <v>209</v>
      </c>
      <c r="N16" s="139" t="s">
        <v>952</v>
      </c>
      <c r="O16" s="139">
        <v>217</v>
      </c>
      <c r="P16" s="139" t="s">
        <v>945</v>
      </c>
      <c r="Q16" s="139">
        <v>4747</v>
      </c>
      <c r="R16" s="139" t="s">
        <v>447</v>
      </c>
      <c r="S16" s="139">
        <v>86642</v>
      </c>
      <c r="T16" s="139">
        <v>47967</v>
      </c>
      <c r="U16" s="139">
        <v>47311</v>
      </c>
      <c r="V16" s="139">
        <v>98.63</v>
      </c>
      <c r="W16" s="139">
        <v>45428</v>
      </c>
      <c r="X16" s="139" t="s">
        <v>953</v>
      </c>
      <c r="Y16" s="139">
        <v>34786</v>
      </c>
      <c r="Z16" s="139">
        <v>21518</v>
      </c>
      <c r="AA16" s="139">
        <v>2026</v>
      </c>
      <c r="AB16" s="139" t="s">
        <v>954</v>
      </c>
      <c r="AC16" s="139">
        <v>17659</v>
      </c>
      <c r="AD16" s="139" t="s">
        <v>955</v>
      </c>
      <c r="AE16" s="139">
        <v>25216</v>
      </c>
      <c r="AF16" s="139">
        <v>2631</v>
      </c>
      <c r="AG16" s="139" t="s">
        <v>956</v>
      </c>
      <c r="AH16" s="139">
        <v>96831</v>
      </c>
      <c r="AI16" s="139">
        <v>7710</v>
      </c>
      <c r="AJ16" s="139" t="s">
        <v>957</v>
      </c>
      <c r="AK16" s="142">
        <v>122047</v>
      </c>
      <c r="AL16" s="142">
        <v>10341</v>
      </c>
      <c r="AM16" s="142">
        <v>8.4700000000000006</v>
      </c>
      <c r="AN16" s="139">
        <v>32079</v>
      </c>
      <c r="AO16" s="139" t="s">
        <v>958</v>
      </c>
      <c r="AP16" s="139">
        <v>9773</v>
      </c>
      <c r="AQ16" s="139" t="s">
        <v>959</v>
      </c>
      <c r="AR16" s="139">
        <v>40336</v>
      </c>
      <c r="AS16" s="139">
        <v>1006</v>
      </c>
      <c r="AT16" s="139">
        <v>318</v>
      </c>
      <c r="AU16" s="139">
        <v>183</v>
      </c>
      <c r="AV16" s="139">
        <v>145</v>
      </c>
      <c r="AW16" s="139" t="s">
        <v>960</v>
      </c>
      <c r="AX16" s="139">
        <v>12618</v>
      </c>
      <c r="AY16" s="139">
        <v>170</v>
      </c>
      <c r="AZ16" s="139">
        <v>16</v>
      </c>
      <c r="BA16" s="139">
        <v>22</v>
      </c>
      <c r="BB16" s="139">
        <v>70</v>
      </c>
      <c r="BC16" s="139" t="s">
        <v>961</v>
      </c>
      <c r="BD16" s="139">
        <v>6494</v>
      </c>
      <c r="BE16" s="139">
        <v>2407</v>
      </c>
      <c r="BF16" s="139">
        <v>718</v>
      </c>
      <c r="BG16" s="139" t="s">
        <v>962</v>
      </c>
      <c r="BH16" s="139">
        <v>39</v>
      </c>
      <c r="BI16" s="139" t="s">
        <v>963</v>
      </c>
      <c r="BJ16" s="139">
        <v>10844</v>
      </c>
      <c r="BK16" s="139">
        <v>5194</v>
      </c>
      <c r="BL16" s="139">
        <v>47.9</v>
      </c>
    </row>
    <row r="17" spans="1:64" ht="57.6" x14ac:dyDescent="0.3">
      <c r="A17" s="139">
        <v>11</v>
      </c>
      <c r="B17" s="139" t="s">
        <v>285</v>
      </c>
      <c r="C17" s="139">
        <v>4418</v>
      </c>
      <c r="D17" s="139">
        <v>357</v>
      </c>
      <c r="E17" s="139">
        <v>8.08</v>
      </c>
      <c r="F17" s="142">
        <v>267</v>
      </c>
      <c r="G17" s="142">
        <v>6.04</v>
      </c>
      <c r="H17" s="139">
        <v>984</v>
      </c>
      <c r="I17" s="139" t="s">
        <v>964</v>
      </c>
      <c r="J17" s="139">
        <v>303</v>
      </c>
      <c r="K17" s="139" t="s">
        <v>965</v>
      </c>
      <c r="L17" s="139">
        <v>418</v>
      </c>
      <c r="M17" s="139">
        <v>164</v>
      </c>
      <c r="N17" s="139" t="s">
        <v>966</v>
      </c>
      <c r="O17" s="139">
        <v>151</v>
      </c>
      <c r="P17" s="139" t="s">
        <v>307</v>
      </c>
      <c r="Q17" s="139">
        <v>4266</v>
      </c>
      <c r="R17" s="139" t="s">
        <v>967</v>
      </c>
      <c r="S17" s="139">
        <v>65656</v>
      </c>
      <c r="T17" s="139">
        <v>35806</v>
      </c>
      <c r="U17" s="139">
        <v>35754</v>
      </c>
      <c r="V17" s="139">
        <v>99.85</v>
      </c>
      <c r="W17" s="139">
        <v>35803</v>
      </c>
      <c r="X17" s="139" t="s">
        <v>425</v>
      </c>
      <c r="Y17" s="139">
        <v>25186</v>
      </c>
      <c r="Z17" s="139">
        <v>17577</v>
      </c>
      <c r="AA17" s="139">
        <v>5194</v>
      </c>
      <c r="AB17" s="139" t="s">
        <v>968</v>
      </c>
      <c r="AC17" s="139">
        <v>17083</v>
      </c>
      <c r="AD17" s="139" t="s">
        <v>969</v>
      </c>
      <c r="AE17" s="139">
        <v>20546</v>
      </c>
      <c r="AF17" s="139">
        <v>3530</v>
      </c>
      <c r="AG17" s="139" t="s">
        <v>970</v>
      </c>
      <c r="AH17" s="139">
        <v>75883</v>
      </c>
      <c r="AI17" s="139">
        <v>12941</v>
      </c>
      <c r="AJ17" s="139" t="s">
        <v>971</v>
      </c>
      <c r="AK17" s="142">
        <v>96429</v>
      </c>
      <c r="AL17" s="142">
        <v>16471</v>
      </c>
      <c r="AM17" s="142">
        <v>17.079999999999998</v>
      </c>
      <c r="AN17" s="139">
        <v>36809</v>
      </c>
      <c r="AO17" s="139" t="s">
        <v>972</v>
      </c>
      <c r="AP17" s="139">
        <v>4288</v>
      </c>
      <c r="AQ17" s="139" t="s">
        <v>973</v>
      </c>
      <c r="AR17" s="139">
        <v>65295</v>
      </c>
      <c r="AS17" s="139">
        <v>274</v>
      </c>
      <c r="AT17" s="139">
        <v>58</v>
      </c>
      <c r="AU17" s="139">
        <v>25</v>
      </c>
      <c r="AV17" s="139">
        <v>70</v>
      </c>
      <c r="AW17" s="139" t="s">
        <v>974</v>
      </c>
      <c r="AX17" s="139">
        <v>5773</v>
      </c>
      <c r="AY17" s="139">
        <v>76</v>
      </c>
      <c r="AZ17" s="139">
        <v>0</v>
      </c>
      <c r="BA17" s="139">
        <v>0</v>
      </c>
      <c r="BB17" s="139">
        <v>0</v>
      </c>
      <c r="BC17" s="139">
        <v>0</v>
      </c>
      <c r="BD17" s="139">
        <v>14809</v>
      </c>
      <c r="BE17" s="139">
        <v>4368</v>
      </c>
      <c r="BF17" s="139">
        <v>2662</v>
      </c>
      <c r="BG17" s="139" t="s">
        <v>975</v>
      </c>
      <c r="BH17" s="139">
        <v>600</v>
      </c>
      <c r="BI17" s="139" t="s">
        <v>976</v>
      </c>
      <c r="BJ17" s="139">
        <v>8778</v>
      </c>
      <c r="BK17" s="139">
        <v>4114</v>
      </c>
      <c r="BL17" s="139">
        <v>46.87</v>
      </c>
    </row>
    <row r="18" spans="1:64" ht="57.6" x14ac:dyDescent="0.3">
      <c r="A18" s="139">
        <v>12</v>
      </c>
      <c r="B18" s="139" t="s">
        <v>287</v>
      </c>
      <c r="C18" s="139">
        <v>1848</v>
      </c>
      <c r="D18" s="139">
        <v>275</v>
      </c>
      <c r="E18" s="139">
        <v>14.88</v>
      </c>
      <c r="F18" s="142">
        <v>146</v>
      </c>
      <c r="G18" s="142">
        <v>7.9</v>
      </c>
      <c r="H18" s="139">
        <v>549</v>
      </c>
      <c r="I18" s="139" t="s">
        <v>977</v>
      </c>
      <c r="J18" s="139">
        <v>228</v>
      </c>
      <c r="K18" s="139" t="s">
        <v>978</v>
      </c>
      <c r="L18" s="139">
        <v>310</v>
      </c>
      <c r="M18" s="139">
        <v>89</v>
      </c>
      <c r="N18" s="139" t="s">
        <v>979</v>
      </c>
      <c r="O18" s="139">
        <v>87</v>
      </c>
      <c r="P18" s="139" t="s">
        <v>839</v>
      </c>
      <c r="Q18" s="139">
        <v>1685</v>
      </c>
      <c r="R18" s="139" t="s">
        <v>980</v>
      </c>
      <c r="S18" s="139">
        <v>34234</v>
      </c>
      <c r="T18" s="139">
        <v>31633</v>
      </c>
      <c r="U18" s="139">
        <v>31497</v>
      </c>
      <c r="V18" s="139">
        <v>99.57</v>
      </c>
      <c r="W18" s="139">
        <v>31356</v>
      </c>
      <c r="X18" s="139" t="s">
        <v>981</v>
      </c>
      <c r="Y18" s="139">
        <v>14447</v>
      </c>
      <c r="Z18" s="139">
        <v>11440</v>
      </c>
      <c r="AA18" s="139">
        <v>1346</v>
      </c>
      <c r="AB18" s="139" t="s">
        <v>982</v>
      </c>
      <c r="AC18" s="139">
        <v>11259</v>
      </c>
      <c r="AD18" s="139" t="s">
        <v>408</v>
      </c>
      <c r="AE18" s="139">
        <v>12590</v>
      </c>
      <c r="AF18" s="139">
        <v>1164</v>
      </c>
      <c r="AG18" s="139" t="s">
        <v>983</v>
      </c>
      <c r="AH18" s="139">
        <v>46915</v>
      </c>
      <c r="AI18" s="139">
        <v>4004</v>
      </c>
      <c r="AJ18" s="139" t="s">
        <v>984</v>
      </c>
      <c r="AK18" s="142">
        <v>59505</v>
      </c>
      <c r="AL18" s="142">
        <v>5168</v>
      </c>
      <c r="AM18" s="142">
        <v>8.68</v>
      </c>
      <c r="AN18" s="139">
        <v>62500</v>
      </c>
      <c r="AO18" s="140" t="s">
        <v>985</v>
      </c>
      <c r="AP18" s="139">
        <v>22838</v>
      </c>
      <c r="AQ18" s="140" t="s">
        <v>986</v>
      </c>
      <c r="AR18" s="139">
        <v>84526</v>
      </c>
      <c r="AS18" s="139">
        <v>1262</v>
      </c>
      <c r="AT18" s="139">
        <v>220</v>
      </c>
      <c r="AU18" s="139">
        <v>98</v>
      </c>
      <c r="AV18" s="139">
        <v>265</v>
      </c>
      <c r="AW18" s="139" t="s">
        <v>987</v>
      </c>
      <c r="AX18" s="139">
        <v>24707</v>
      </c>
      <c r="AY18" s="139">
        <v>414</v>
      </c>
      <c r="AZ18" s="139">
        <v>54</v>
      </c>
      <c r="BA18" s="139">
        <v>80</v>
      </c>
      <c r="BB18" s="139">
        <v>99</v>
      </c>
      <c r="BC18" s="139" t="s">
        <v>988</v>
      </c>
      <c r="BD18" s="139">
        <v>8787</v>
      </c>
      <c r="BE18" s="139">
        <v>3080</v>
      </c>
      <c r="BF18" s="139">
        <v>1468</v>
      </c>
      <c r="BG18" s="139" t="s">
        <v>989</v>
      </c>
      <c r="BH18" s="139">
        <v>59</v>
      </c>
      <c r="BI18" s="139" t="s">
        <v>278</v>
      </c>
      <c r="BJ18" s="139">
        <v>5872</v>
      </c>
      <c r="BK18" s="139">
        <v>2656</v>
      </c>
      <c r="BL18" s="139">
        <v>45.23</v>
      </c>
    </row>
    <row r="19" spans="1:64" ht="57.6" x14ac:dyDescent="0.3">
      <c r="A19" s="139">
        <v>13</v>
      </c>
      <c r="B19" s="139" t="s">
        <v>288</v>
      </c>
      <c r="C19" s="139">
        <v>786</v>
      </c>
      <c r="D19" s="139">
        <v>54</v>
      </c>
      <c r="E19" s="139">
        <v>6.87</v>
      </c>
      <c r="F19" s="142">
        <v>51</v>
      </c>
      <c r="G19" s="142">
        <v>6.49</v>
      </c>
      <c r="H19" s="139">
        <v>184</v>
      </c>
      <c r="I19" s="139" t="s">
        <v>990</v>
      </c>
      <c r="J19" s="139">
        <v>57</v>
      </c>
      <c r="K19" s="139" t="s">
        <v>991</v>
      </c>
      <c r="L19" s="139">
        <v>64</v>
      </c>
      <c r="M19" s="139">
        <v>16</v>
      </c>
      <c r="N19" s="139">
        <v>25</v>
      </c>
      <c r="O19" s="139">
        <v>15</v>
      </c>
      <c r="P19" s="139" t="s">
        <v>992</v>
      </c>
      <c r="Q19" s="139">
        <v>693</v>
      </c>
      <c r="R19" s="139" t="s">
        <v>993</v>
      </c>
      <c r="S19" s="139">
        <v>18947</v>
      </c>
      <c r="T19" s="139">
        <v>39451</v>
      </c>
      <c r="U19" s="139">
        <v>37802</v>
      </c>
      <c r="V19" s="139">
        <v>95.82</v>
      </c>
      <c r="W19" s="139">
        <v>39322</v>
      </c>
      <c r="X19" s="139" t="s">
        <v>994</v>
      </c>
      <c r="Y19" s="139">
        <v>7271</v>
      </c>
      <c r="Z19" s="139">
        <v>3569</v>
      </c>
      <c r="AA19" s="139">
        <v>77</v>
      </c>
      <c r="AB19" s="139" t="s">
        <v>995</v>
      </c>
      <c r="AC19" s="139">
        <v>3504</v>
      </c>
      <c r="AD19" s="139" t="s">
        <v>996</v>
      </c>
      <c r="AE19" s="139">
        <v>5763</v>
      </c>
      <c r="AF19" s="139">
        <v>102</v>
      </c>
      <c r="AG19" s="139" t="s">
        <v>997</v>
      </c>
      <c r="AH19" s="139">
        <v>20296</v>
      </c>
      <c r="AI19" s="139">
        <v>306</v>
      </c>
      <c r="AJ19" s="139" t="s">
        <v>998</v>
      </c>
      <c r="AK19" s="142">
        <v>26059</v>
      </c>
      <c r="AL19" s="142">
        <v>408</v>
      </c>
      <c r="AM19" s="142">
        <v>1.57</v>
      </c>
      <c r="AN19" s="139">
        <v>5481</v>
      </c>
      <c r="AO19" s="139" t="s">
        <v>999</v>
      </c>
      <c r="AP19" s="139">
        <v>2511</v>
      </c>
      <c r="AQ19" s="139" t="s">
        <v>1000</v>
      </c>
      <c r="AR19" s="139">
        <v>5491</v>
      </c>
      <c r="AS19" s="139">
        <v>17</v>
      </c>
      <c r="AT19" s="139">
        <v>3</v>
      </c>
      <c r="AU19" s="139">
        <v>2</v>
      </c>
      <c r="AV19" s="139">
        <v>4</v>
      </c>
      <c r="AW19" s="139">
        <v>30</v>
      </c>
      <c r="AX19" s="139">
        <v>2286</v>
      </c>
      <c r="AY19" s="139">
        <v>49</v>
      </c>
      <c r="AZ19" s="139">
        <v>4</v>
      </c>
      <c r="BA19" s="139">
        <v>0</v>
      </c>
      <c r="BB19" s="139">
        <v>0</v>
      </c>
      <c r="BC19" s="139">
        <v>0</v>
      </c>
      <c r="BD19" s="139">
        <v>783</v>
      </c>
      <c r="BE19" s="139">
        <v>390</v>
      </c>
      <c r="BF19" s="139">
        <v>206</v>
      </c>
      <c r="BG19" s="139" t="s">
        <v>278</v>
      </c>
      <c r="BH19" s="139">
        <v>2</v>
      </c>
      <c r="BI19" s="139" t="s">
        <v>1001</v>
      </c>
      <c r="BJ19" s="139">
        <v>1809</v>
      </c>
      <c r="BK19" s="139">
        <v>237</v>
      </c>
      <c r="BL19" s="139">
        <v>13.1</v>
      </c>
    </row>
    <row r="20" spans="1:64" ht="43.2" x14ac:dyDescent="0.3">
      <c r="A20" s="139">
        <v>14</v>
      </c>
      <c r="B20" s="139" t="s">
        <v>289</v>
      </c>
      <c r="C20" s="139">
        <v>1132</v>
      </c>
      <c r="D20" s="139">
        <v>104</v>
      </c>
      <c r="E20" s="139">
        <v>9.19</v>
      </c>
      <c r="F20" s="142">
        <v>57</v>
      </c>
      <c r="G20" s="142">
        <v>5.04</v>
      </c>
      <c r="H20" s="139">
        <v>206</v>
      </c>
      <c r="I20" s="139" t="s">
        <v>1002</v>
      </c>
      <c r="J20" s="139">
        <v>84</v>
      </c>
      <c r="K20" s="139" t="s">
        <v>1003</v>
      </c>
      <c r="L20" s="139">
        <v>119</v>
      </c>
      <c r="M20" s="139">
        <v>29</v>
      </c>
      <c r="N20" s="139" t="s">
        <v>1004</v>
      </c>
      <c r="O20" s="139">
        <v>28</v>
      </c>
      <c r="P20" s="139" t="s">
        <v>1005</v>
      </c>
      <c r="Q20" s="139">
        <v>1057</v>
      </c>
      <c r="R20" s="139" t="s">
        <v>1006</v>
      </c>
      <c r="S20" s="139">
        <v>34598</v>
      </c>
      <c r="T20" s="139">
        <v>37302</v>
      </c>
      <c r="U20" s="139">
        <v>34854</v>
      </c>
      <c r="V20" s="139">
        <v>93.44</v>
      </c>
      <c r="W20" s="139">
        <v>37074</v>
      </c>
      <c r="X20" s="139" t="s">
        <v>1007</v>
      </c>
      <c r="Y20" s="139">
        <v>10920</v>
      </c>
      <c r="Z20" s="139">
        <v>4586</v>
      </c>
      <c r="AA20" s="139">
        <v>50</v>
      </c>
      <c r="AB20" s="139" t="s">
        <v>1008</v>
      </c>
      <c r="AC20" s="139">
        <v>4578</v>
      </c>
      <c r="AD20" s="139" t="s">
        <v>1009</v>
      </c>
      <c r="AE20" s="139">
        <v>6606</v>
      </c>
      <c r="AF20" s="139">
        <v>112</v>
      </c>
      <c r="AG20" s="139" t="s">
        <v>1010</v>
      </c>
      <c r="AH20" s="139">
        <v>24436</v>
      </c>
      <c r="AI20" s="139">
        <v>405</v>
      </c>
      <c r="AJ20" s="139" t="s">
        <v>1011</v>
      </c>
      <c r="AK20" s="142">
        <v>31042</v>
      </c>
      <c r="AL20" s="142">
        <v>517</v>
      </c>
      <c r="AM20" s="142">
        <v>1.67</v>
      </c>
      <c r="AN20" s="139">
        <v>2846</v>
      </c>
      <c r="AO20" s="139" t="s">
        <v>470</v>
      </c>
      <c r="AP20" s="139">
        <v>961</v>
      </c>
      <c r="AQ20" s="139" t="s">
        <v>1012</v>
      </c>
      <c r="AR20" s="139">
        <v>2567</v>
      </c>
      <c r="AS20" s="139">
        <v>32</v>
      </c>
      <c r="AT20" s="139">
        <v>0</v>
      </c>
      <c r="AU20" s="139">
        <v>0</v>
      </c>
      <c r="AV20" s="139">
        <v>7</v>
      </c>
      <c r="AW20" s="139" t="s">
        <v>1013</v>
      </c>
      <c r="AX20" s="139">
        <v>665</v>
      </c>
      <c r="AY20" s="139">
        <v>7</v>
      </c>
      <c r="AZ20" s="139">
        <v>0</v>
      </c>
      <c r="BA20" s="139">
        <v>2</v>
      </c>
      <c r="BB20" s="139">
        <v>0</v>
      </c>
      <c r="BC20" s="139" t="s">
        <v>311</v>
      </c>
      <c r="BD20" s="139">
        <v>1194</v>
      </c>
      <c r="BE20" s="139">
        <v>122</v>
      </c>
      <c r="BF20" s="139">
        <v>565</v>
      </c>
      <c r="BG20" s="139" t="s">
        <v>998</v>
      </c>
      <c r="BH20" s="139">
        <v>0</v>
      </c>
      <c r="BI20" s="139">
        <v>0</v>
      </c>
      <c r="BJ20" s="139">
        <v>2813</v>
      </c>
      <c r="BK20" s="139">
        <v>338</v>
      </c>
      <c r="BL20" s="139">
        <v>12.02</v>
      </c>
    </row>
    <row r="21" spans="1:64" ht="57.6" x14ac:dyDescent="0.3">
      <c r="A21" s="139">
        <v>15</v>
      </c>
      <c r="B21" s="139" t="s">
        <v>290</v>
      </c>
      <c r="C21" s="139">
        <v>808</v>
      </c>
      <c r="D21" s="139">
        <v>100</v>
      </c>
      <c r="E21" s="139">
        <v>12.38</v>
      </c>
      <c r="F21" s="142">
        <v>47</v>
      </c>
      <c r="G21" s="142">
        <v>5.82</v>
      </c>
      <c r="H21" s="139">
        <v>136</v>
      </c>
      <c r="I21" s="139" t="s">
        <v>1014</v>
      </c>
      <c r="J21" s="139">
        <v>135</v>
      </c>
      <c r="K21" s="139" t="s">
        <v>1015</v>
      </c>
      <c r="L21" s="139">
        <v>119</v>
      </c>
      <c r="M21" s="139">
        <v>17</v>
      </c>
      <c r="N21" s="139" t="s">
        <v>1016</v>
      </c>
      <c r="O21" s="139">
        <v>12</v>
      </c>
      <c r="P21" s="139" t="s">
        <v>1017</v>
      </c>
      <c r="Q21" s="139">
        <v>772</v>
      </c>
      <c r="R21" s="139" t="s">
        <v>1018</v>
      </c>
      <c r="S21" s="139">
        <v>35529</v>
      </c>
      <c r="T21" s="139">
        <v>59787</v>
      </c>
      <c r="U21" s="139">
        <v>56023</v>
      </c>
      <c r="V21" s="139">
        <v>93.7</v>
      </c>
      <c r="W21" s="139">
        <v>58345</v>
      </c>
      <c r="X21" s="139" t="s">
        <v>1019</v>
      </c>
      <c r="Y21" s="139">
        <v>17147</v>
      </c>
      <c r="Z21" s="139">
        <v>7164</v>
      </c>
      <c r="AA21" s="139">
        <v>819</v>
      </c>
      <c r="AB21" s="139" t="s">
        <v>1020</v>
      </c>
      <c r="AC21" s="139">
        <v>6961</v>
      </c>
      <c r="AD21" s="139" t="s">
        <v>1021</v>
      </c>
      <c r="AE21" s="139">
        <v>9703</v>
      </c>
      <c r="AF21" s="139">
        <v>1977</v>
      </c>
      <c r="AG21" s="139" t="s">
        <v>1022</v>
      </c>
      <c r="AH21" s="139">
        <v>35357</v>
      </c>
      <c r="AI21" s="139">
        <v>4753</v>
      </c>
      <c r="AJ21" s="139" t="s">
        <v>1023</v>
      </c>
      <c r="AK21" s="142">
        <v>45060</v>
      </c>
      <c r="AL21" s="142">
        <v>6730</v>
      </c>
      <c r="AM21" s="142">
        <v>14.94</v>
      </c>
      <c r="AN21" s="139">
        <v>12841</v>
      </c>
      <c r="AO21" s="139" t="s">
        <v>1024</v>
      </c>
      <c r="AP21" s="139">
        <v>11239</v>
      </c>
      <c r="AQ21" s="139" t="s">
        <v>1025</v>
      </c>
      <c r="AR21" s="139">
        <v>30045</v>
      </c>
      <c r="AS21" s="139">
        <v>4032</v>
      </c>
      <c r="AT21" s="139">
        <v>53</v>
      </c>
      <c r="AU21" s="139">
        <v>2</v>
      </c>
      <c r="AV21" s="139">
        <v>302</v>
      </c>
      <c r="AW21" s="139" t="s">
        <v>1026</v>
      </c>
      <c r="AX21" s="139">
        <v>14152</v>
      </c>
      <c r="AY21" s="139">
        <v>77</v>
      </c>
      <c r="AZ21" s="139">
        <v>4</v>
      </c>
      <c r="BA21" s="139">
        <v>2</v>
      </c>
      <c r="BB21" s="139">
        <v>4</v>
      </c>
      <c r="BC21" s="139" t="s">
        <v>1027</v>
      </c>
      <c r="BD21" s="139">
        <v>6228</v>
      </c>
      <c r="BE21" s="139">
        <v>2032</v>
      </c>
      <c r="BF21" s="139">
        <v>1079</v>
      </c>
      <c r="BG21" s="139" t="s">
        <v>1028</v>
      </c>
      <c r="BH21" s="139">
        <v>147</v>
      </c>
      <c r="BI21" s="139" t="s">
        <v>1029</v>
      </c>
      <c r="BJ21" s="139">
        <v>3219</v>
      </c>
      <c r="BK21" s="139">
        <v>1845</v>
      </c>
      <c r="BL21" s="139">
        <v>57.32</v>
      </c>
    </row>
    <row r="22" spans="1:64" ht="43.2" x14ac:dyDescent="0.3">
      <c r="A22" s="139">
        <v>16</v>
      </c>
      <c r="B22" s="139" t="s">
        <v>291</v>
      </c>
      <c r="C22" s="139">
        <v>4130</v>
      </c>
      <c r="D22" s="139">
        <v>311</v>
      </c>
      <c r="E22" s="139">
        <v>7.53</v>
      </c>
      <c r="F22" s="142">
        <v>275</v>
      </c>
      <c r="G22" s="142">
        <v>6.66</v>
      </c>
      <c r="H22" s="139">
        <v>667</v>
      </c>
      <c r="I22" s="139" t="s">
        <v>1030</v>
      </c>
      <c r="J22" s="139">
        <v>318</v>
      </c>
      <c r="K22" s="139" t="s">
        <v>1031</v>
      </c>
      <c r="L22" s="139">
        <v>403</v>
      </c>
      <c r="M22" s="139">
        <v>262</v>
      </c>
      <c r="N22" s="139" t="s">
        <v>1032</v>
      </c>
      <c r="O22" s="139">
        <v>221</v>
      </c>
      <c r="P22" s="139" t="s">
        <v>1033</v>
      </c>
      <c r="Q22" s="139">
        <v>3917</v>
      </c>
      <c r="R22" s="139" t="s">
        <v>1034</v>
      </c>
      <c r="S22" s="139">
        <v>64675</v>
      </c>
      <c r="T22" s="139">
        <v>34618</v>
      </c>
      <c r="U22" s="139">
        <v>34270</v>
      </c>
      <c r="V22" s="139">
        <v>98.99</v>
      </c>
      <c r="W22" s="139">
        <v>34000</v>
      </c>
      <c r="X22" s="139" t="s">
        <v>1035</v>
      </c>
      <c r="Y22" s="139">
        <v>22298</v>
      </c>
      <c r="Z22" s="139">
        <v>16648</v>
      </c>
      <c r="AA22" s="139">
        <v>5889</v>
      </c>
      <c r="AB22" s="139" t="s">
        <v>1036</v>
      </c>
      <c r="AC22" s="139">
        <v>16437</v>
      </c>
      <c r="AD22" s="139" t="s">
        <v>1037</v>
      </c>
      <c r="AE22" s="139">
        <v>15481</v>
      </c>
      <c r="AF22" s="139">
        <v>5247</v>
      </c>
      <c r="AG22" s="139" t="s">
        <v>1038</v>
      </c>
      <c r="AH22" s="139">
        <v>57682</v>
      </c>
      <c r="AI22" s="139">
        <v>19667</v>
      </c>
      <c r="AJ22" s="139" t="s">
        <v>1039</v>
      </c>
      <c r="AK22" s="142">
        <v>73163</v>
      </c>
      <c r="AL22" s="142">
        <v>24914</v>
      </c>
      <c r="AM22" s="142">
        <v>34.049999999999997</v>
      </c>
      <c r="AN22" s="139">
        <v>23888</v>
      </c>
      <c r="AO22" s="139" t="s">
        <v>1040</v>
      </c>
      <c r="AP22" s="139">
        <v>12197</v>
      </c>
      <c r="AQ22" s="139" t="s">
        <v>1041</v>
      </c>
      <c r="AR22" s="139">
        <v>84129</v>
      </c>
      <c r="AS22" s="139">
        <v>419</v>
      </c>
      <c r="AT22" s="139">
        <v>52</v>
      </c>
      <c r="AU22" s="139">
        <v>32</v>
      </c>
      <c r="AV22" s="139">
        <v>152</v>
      </c>
      <c r="AW22" s="139" t="s">
        <v>1042</v>
      </c>
      <c r="AX22" s="139">
        <v>29187</v>
      </c>
      <c r="AY22" s="139">
        <v>208</v>
      </c>
      <c r="AZ22" s="139">
        <v>15</v>
      </c>
      <c r="BA22" s="139">
        <v>12</v>
      </c>
      <c r="BB22" s="139">
        <v>15</v>
      </c>
      <c r="BC22" s="139" t="s">
        <v>1043</v>
      </c>
      <c r="BD22" s="139">
        <v>15044</v>
      </c>
      <c r="BE22" s="139">
        <v>6970</v>
      </c>
      <c r="BF22" s="139">
        <v>999</v>
      </c>
      <c r="BG22" s="139" t="s">
        <v>1044</v>
      </c>
      <c r="BH22" s="139">
        <v>55</v>
      </c>
      <c r="BI22" s="139" t="s">
        <v>1045</v>
      </c>
      <c r="BJ22" s="139">
        <v>8407</v>
      </c>
      <c r="BK22" s="139">
        <v>7012</v>
      </c>
      <c r="BL22" s="139">
        <v>83.41</v>
      </c>
    </row>
    <row r="23" spans="1:64" ht="57.6" x14ac:dyDescent="0.3">
      <c r="A23" s="139">
        <v>17</v>
      </c>
      <c r="B23" s="139" t="s">
        <v>292</v>
      </c>
      <c r="C23" s="139">
        <v>3529</v>
      </c>
      <c r="D23" s="139">
        <v>259</v>
      </c>
      <c r="E23" s="139">
        <v>7.34</v>
      </c>
      <c r="F23" s="142">
        <v>208</v>
      </c>
      <c r="G23" s="142">
        <v>5.89</v>
      </c>
      <c r="H23" s="139">
        <v>409</v>
      </c>
      <c r="I23" s="139" t="s">
        <v>1046</v>
      </c>
      <c r="J23" s="139">
        <v>285</v>
      </c>
      <c r="K23" s="139" t="s">
        <v>1047</v>
      </c>
      <c r="L23" s="139">
        <v>300</v>
      </c>
      <c r="M23" s="139">
        <v>178</v>
      </c>
      <c r="N23" s="139" t="s">
        <v>1048</v>
      </c>
      <c r="O23" s="139">
        <v>155</v>
      </c>
      <c r="P23" s="139" t="s">
        <v>1049</v>
      </c>
      <c r="Q23" s="139">
        <v>3018</v>
      </c>
      <c r="R23" s="139" t="s">
        <v>1050</v>
      </c>
      <c r="S23" s="139">
        <v>48665</v>
      </c>
      <c r="T23" s="139">
        <v>29429</v>
      </c>
      <c r="U23" s="139">
        <v>26579</v>
      </c>
      <c r="V23" s="139">
        <v>90.32</v>
      </c>
      <c r="W23" s="139">
        <v>28876</v>
      </c>
      <c r="X23" s="139" t="s">
        <v>1051</v>
      </c>
      <c r="Y23" s="139">
        <v>19405</v>
      </c>
      <c r="Z23" s="139">
        <v>13449</v>
      </c>
      <c r="AA23" s="139">
        <v>3417</v>
      </c>
      <c r="AB23" s="139" t="s">
        <v>1052</v>
      </c>
      <c r="AC23" s="139">
        <v>13374</v>
      </c>
      <c r="AD23" s="139" t="s">
        <v>392</v>
      </c>
      <c r="AE23" s="139">
        <v>6596</v>
      </c>
      <c r="AF23" s="139">
        <v>1067</v>
      </c>
      <c r="AG23" s="139" t="s">
        <v>1053</v>
      </c>
      <c r="AH23" s="139">
        <v>26956</v>
      </c>
      <c r="AI23" s="139">
        <v>4210</v>
      </c>
      <c r="AJ23" s="139" t="s">
        <v>1054</v>
      </c>
      <c r="AK23" s="142">
        <v>33552</v>
      </c>
      <c r="AL23" s="142">
        <v>5277</v>
      </c>
      <c r="AM23" s="142">
        <v>15.73</v>
      </c>
      <c r="AN23" s="139">
        <v>25649</v>
      </c>
      <c r="AO23" s="139" t="s">
        <v>1055</v>
      </c>
      <c r="AP23" s="139">
        <v>9733</v>
      </c>
      <c r="AQ23" s="139" t="s">
        <v>1056</v>
      </c>
      <c r="AR23" s="139">
        <v>39777</v>
      </c>
      <c r="AS23" s="139">
        <v>403</v>
      </c>
      <c r="AT23" s="139">
        <v>22</v>
      </c>
      <c r="AU23" s="139">
        <v>23</v>
      </c>
      <c r="AV23" s="139">
        <v>43</v>
      </c>
      <c r="AW23" s="139" t="s">
        <v>1057</v>
      </c>
      <c r="AX23" s="139">
        <v>13368</v>
      </c>
      <c r="AY23" s="139">
        <v>221</v>
      </c>
      <c r="AZ23" s="139">
        <v>9</v>
      </c>
      <c r="BA23" s="139">
        <v>1</v>
      </c>
      <c r="BB23" s="139">
        <v>11</v>
      </c>
      <c r="BC23" s="139" t="s">
        <v>1058</v>
      </c>
      <c r="BD23" s="139">
        <v>11049</v>
      </c>
      <c r="BE23" s="139">
        <v>4245</v>
      </c>
      <c r="BF23" s="139">
        <v>840</v>
      </c>
      <c r="BG23" s="139" t="s">
        <v>1059</v>
      </c>
      <c r="BH23" s="139">
        <v>24</v>
      </c>
      <c r="BI23" s="139" t="s">
        <v>963</v>
      </c>
      <c r="BJ23" s="139">
        <v>6951</v>
      </c>
      <c r="BK23" s="139">
        <v>1525</v>
      </c>
      <c r="BL23" s="139">
        <v>21.94</v>
      </c>
    </row>
    <row r="24" spans="1:64" ht="28.8" x14ac:dyDescent="0.3">
      <c r="A24" s="139">
        <v>18</v>
      </c>
      <c r="B24" s="139" t="s">
        <v>294</v>
      </c>
      <c r="C24" s="139">
        <v>3195</v>
      </c>
      <c r="D24" s="139">
        <v>232</v>
      </c>
      <c r="E24" s="139">
        <v>7.26</v>
      </c>
      <c r="F24" s="142">
        <v>170</v>
      </c>
      <c r="G24" s="142">
        <v>5.32</v>
      </c>
      <c r="H24" s="139">
        <v>476</v>
      </c>
      <c r="I24" s="139" t="s">
        <v>1060</v>
      </c>
      <c r="J24" s="139">
        <v>169</v>
      </c>
      <c r="K24" s="139" t="s">
        <v>1061</v>
      </c>
      <c r="L24" s="139">
        <v>311</v>
      </c>
      <c r="M24" s="139">
        <v>78</v>
      </c>
      <c r="N24" s="139" t="s">
        <v>1062</v>
      </c>
      <c r="O24" s="139">
        <v>82</v>
      </c>
      <c r="P24" s="139" t="s">
        <v>687</v>
      </c>
      <c r="Q24" s="139">
        <v>3018</v>
      </c>
      <c r="R24" s="139" t="s">
        <v>1063</v>
      </c>
      <c r="S24" s="139">
        <v>38299</v>
      </c>
      <c r="T24" s="139">
        <v>54248</v>
      </c>
      <c r="U24" s="139">
        <v>50435</v>
      </c>
      <c r="V24" s="139">
        <v>92.97</v>
      </c>
      <c r="W24" s="139">
        <v>53955</v>
      </c>
      <c r="X24" s="139" t="s">
        <v>1064</v>
      </c>
      <c r="Y24" s="139">
        <v>20638</v>
      </c>
      <c r="Z24" s="139">
        <v>13397</v>
      </c>
      <c r="AA24" s="139">
        <v>952</v>
      </c>
      <c r="AB24" s="139" t="s">
        <v>453</v>
      </c>
      <c r="AC24" s="139">
        <v>13313</v>
      </c>
      <c r="AD24" s="139" t="s">
        <v>1065</v>
      </c>
      <c r="AE24" s="139">
        <v>14734</v>
      </c>
      <c r="AF24" s="139">
        <v>1287</v>
      </c>
      <c r="AG24" s="139" t="s">
        <v>1066</v>
      </c>
      <c r="AH24" s="139">
        <v>55180</v>
      </c>
      <c r="AI24" s="139">
        <v>4056</v>
      </c>
      <c r="AJ24" s="139" t="s">
        <v>1067</v>
      </c>
      <c r="AK24" s="142">
        <v>69914</v>
      </c>
      <c r="AL24" s="142">
        <v>5343</v>
      </c>
      <c r="AM24" s="142">
        <v>7.64</v>
      </c>
      <c r="AN24" s="139">
        <v>14704</v>
      </c>
      <c r="AO24" s="139" t="s">
        <v>1068</v>
      </c>
      <c r="AP24" s="139">
        <v>15018</v>
      </c>
      <c r="AQ24" s="139" t="s">
        <v>1069</v>
      </c>
      <c r="AR24" s="139">
        <v>44011</v>
      </c>
      <c r="AS24" s="139">
        <v>477</v>
      </c>
      <c r="AT24" s="139">
        <v>50</v>
      </c>
      <c r="AU24" s="139">
        <v>80</v>
      </c>
      <c r="AV24" s="139">
        <v>23</v>
      </c>
      <c r="AW24" s="139" t="s">
        <v>1070</v>
      </c>
      <c r="AX24" s="139">
        <v>21541</v>
      </c>
      <c r="AY24" s="139">
        <v>942</v>
      </c>
      <c r="AZ24" s="139">
        <v>12</v>
      </c>
      <c r="BA24" s="139">
        <v>10</v>
      </c>
      <c r="BB24" s="139">
        <v>46</v>
      </c>
      <c r="BC24" s="139" t="s">
        <v>1071</v>
      </c>
      <c r="BD24" s="139">
        <v>5891</v>
      </c>
      <c r="BE24" s="139">
        <v>2949</v>
      </c>
      <c r="BF24" s="139">
        <v>931</v>
      </c>
      <c r="BG24" s="139" t="s">
        <v>864</v>
      </c>
      <c r="BH24" s="139">
        <v>123</v>
      </c>
      <c r="BI24" s="139" t="s">
        <v>1072</v>
      </c>
      <c r="BJ24" s="139">
        <v>6552</v>
      </c>
      <c r="BK24" s="139">
        <v>1804</v>
      </c>
      <c r="BL24" s="139">
        <v>27.53</v>
      </c>
    </row>
    <row r="25" spans="1:64" ht="43.2" x14ac:dyDescent="0.3">
      <c r="A25" s="139">
        <v>19</v>
      </c>
      <c r="B25" s="139" t="s">
        <v>295</v>
      </c>
      <c r="C25" s="139">
        <v>4559</v>
      </c>
      <c r="D25" s="139">
        <v>236</v>
      </c>
      <c r="E25" s="139">
        <v>5.18</v>
      </c>
      <c r="F25" s="142">
        <v>187</v>
      </c>
      <c r="G25" s="142">
        <v>4.0999999999999996</v>
      </c>
      <c r="H25" s="139">
        <v>642</v>
      </c>
      <c r="I25" s="139" t="s">
        <v>1073</v>
      </c>
      <c r="J25" s="139">
        <v>138</v>
      </c>
      <c r="K25" s="139" t="s">
        <v>1074</v>
      </c>
      <c r="L25" s="139">
        <v>344</v>
      </c>
      <c r="M25" s="139">
        <v>110</v>
      </c>
      <c r="N25" s="139" t="s">
        <v>1075</v>
      </c>
      <c r="O25" s="139">
        <v>84</v>
      </c>
      <c r="P25" s="139" t="s">
        <v>1076</v>
      </c>
      <c r="Q25" s="139">
        <v>4153</v>
      </c>
      <c r="R25" s="139" t="s">
        <v>1077</v>
      </c>
      <c r="S25" s="139">
        <v>65479</v>
      </c>
      <c r="T25" s="139">
        <v>40677</v>
      </c>
      <c r="U25" s="139">
        <v>39944</v>
      </c>
      <c r="V25" s="139">
        <v>98.2</v>
      </c>
      <c r="W25" s="139">
        <v>40544</v>
      </c>
      <c r="X25" s="139" t="s">
        <v>994</v>
      </c>
      <c r="Y25" s="139">
        <v>26403</v>
      </c>
      <c r="Z25" s="139">
        <v>13733</v>
      </c>
      <c r="AA25" s="139">
        <v>1366</v>
      </c>
      <c r="AB25" s="139" t="s">
        <v>487</v>
      </c>
      <c r="AC25" s="139">
        <v>13790</v>
      </c>
      <c r="AD25" s="140" t="s">
        <v>1078</v>
      </c>
      <c r="AE25" s="139">
        <v>9055</v>
      </c>
      <c r="AF25" s="139">
        <v>245</v>
      </c>
      <c r="AG25" s="139" t="s">
        <v>1079</v>
      </c>
      <c r="AH25" s="139">
        <v>31836</v>
      </c>
      <c r="AI25" s="139">
        <v>580</v>
      </c>
      <c r="AJ25" s="139" t="s">
        <v>1080</v>
      </c>
      <c r="AK25" s="142">
        <v>40891</v>
      </c>
      <c r="AL25" s="142">
        <v>825</v>
      </c>
      <c r="AM25" s="142">
        <v>2.02</v>
      </c>
      <c r="AN25" s="139">
        <v>48860</v>
      </c>
      <c r="AO25" s="139" t="s">
        <v>1081</v>
      </c>
      <c r="AP25" s="139">
        <v>17815</v>
      </c>
      <c r="AQ25" s="139" t="s">
        <v>1082</v>
      </c>
      <c r="AR25" s="139">
        <v>48619</v>
      </c>
      <c r="AS25" s="139">
        <v>581</v>
      </c>
      <c r="AT25" s="139">
        <v>259</v>
      </c>
      <c r="AU25" s="139">
        <v>293</v>
      </c>
      <c r="AV25" s="139">
        <v>203</v>
      </c>
      <c r="AW25" s="139" t="s">
        <v>1083</v>
      </c>
      <c r="AX25" s="139">
        <v>15693</v>
      </c>
      <c r="AY25" s="139">
        <v>390</v>
      </c>
      <c r="AZ25" s="139">
        <v>18</v>
      </c>
      <c r="BA25" s="139">
        <v>105</v>
      </c>
      <c r="BB25" s="139">
        <v>9</v>
      </c>
      <c r="BC25" s="139" t="s">
        <v>1084</v>
      </c>
      <c r="BD25" s="139">
        <v>8550</v>
      </c>
      <c r="BE25" s="139">
        <v>2878</v>
      </c>
      <c r="BF25" s="139">
        <v>1566</v>
      </c>
      <c r="BG25" s="139" t="s">
        <v>1085</v>
      </c>
      <c r="BH25" s="139">
        <v>44</v>
      </c>
      <c r="BI25" s="139" t="s">
        <v>1086</v>
      </c>
      <c r="BJ25" s="139">
        <v>11060</v>
      </c>
      <c r="BK25" s="139">
        <v>4969</v>
      </c>
      <c r="BL25" s="139">
        <v>44.93</v>
      </c>
    </row>
    <row r="26" spans="1:64" ht="43.2" x14ac:dyDescent="0.3">
      <c r="A26" s="139">
        <v>20</v>
      </c>
      <c r="B26" s="139" t="s">
        <v>296</v>
      </c>
      <c r="C26" s="139">
        <v>3916</v>
      </c>
      <c r="D26" s="139">
        <v>365</v>
      </c>
      <c r="E26" s="139">
        <v>9.32</v>
      </c>
      <c r="F26" s="142">
        <v>196</v>
      </c>
      <c r="G26" s="142">
        <v>5.01</v>
      </c>
      <c r="H26" s="139">
        <v>595</v>
      </c>
      <c r="I26" s="139" t="s">
        <v>1087</v>
      </c>
      <c r="J26" s="139">
        <v>378</v>
      </c>
      <c r="K26" s="139" t="s">
        <v>1088</v>
      </c>
      <c r="L26" s="139">
        <v>466</v>
      </c>
      <c r="M26" s="139">
        <v>77</v>
      </c>
      <c r="N26" s="139" t="s">
        <v>1089</v>
      </c>
      <c r="O26" s="139">
        <v>77</v>
      </c>
      <c r="P26" s="139" t="s">
        <v>1090</v>
      </c>
      <c r="Q26" s="139">
        <v>3751</v>
      </c>
      <c r="R26" s="139" t="s">
        <v>1091</v>
      </c>
      <c r="S26" s="139">
        <v>90322</v>
      </c>
      <c r="T26" s="139">
        <v>56278</v>
      </c>
      <c r="U26" s="139">
        <v>54437</v>
      </c>
      <c r="V26" s="139">
        <v>96.73</v>
      </c>
      <c r="W26" s="139">
        <v>56167</v>
      </c>
      <c r="X26" s="139" t="s">
        <v>1092</v>
      </c>
      <c r="Y26" s="139">
        <v>35980</v>
      </c>
      <c r="Z26" s="139">
        <v>20884</v>
      </c>
      <c r="AA26" s="139">
        <v>443</v>
      </c>
      <c r="AB26" s="139" t="s">
        <v>1093</v>
      </c>
      <c r="AC26" s="139">
        <v>20740</v>
      </c>
      <c r="AD26" s="139" t="s">
        <v>1094</v>
      </c>
      <c r="AE26" s="139">
        <v>19704</v>
      </c>
      <c r="AF26" s="139">
        <v>299</v>
      </c>
      <c r="AG26" s="139" t="s">
        <v>1095</v>
      </c>
      <c r="AH26" s="139">
        <v>80818</v>
      </c>
      <c r="AI26" s="139">
        <v>896</v>
      </c>
      <c r="AJ26" s="139" t="s">
        <v>300</v>
      </c>
      <c r="AK26" s="142">
        <v>100522</v>
      </c>
      <c r="AL26" s="142">
        <v>1195</v>
      </c>
      <c r="AM26" s="142">
        <v>1.19</v>
      </c>
      <c r="AN26" s="139">
        <v>44052</v>
      </c>
      <c r="AO26" s="139" t="s">
        <v>1096</v>
      </c>
      <c r="AP26" s="139">
        <v>16245</v>
      </c>
      <c r="AQ26" s="139" t="s">
        <v>1097</v>
      </c>
      <c r="AR26" s="139">
        <v>53728</v>
      </c>
      <c r="AS26" s="139">
        <v>904</v>
      </c>
      <c r="AT26" s="139">
        <v>150</v>
      </c>
      <c r="AU26" s="139">
        <v>143</v>
      </c>
      <c r="AV26" s="139">
        <v>48</v>
      </c>
      <c r="AW26" s="139" t="s">
        <v>1098</v>
      </c>
      <c r="AX26" s="139">
        <v>26119</v>
      </c>
      <c r="AY26" s="139">
        <v>797</v>
      </c>
      <c r="AZ26" s="139">
        <v>1839</v>
      </c>
      <c r="BA26" s="139">
        <v>36</v>
      </c>
      <c r="BB26" s="139">
        <v>2</v>
      </c>
      <c r="BC26" s="139" t="s">
        <v>879</v>
      </c>
      <c r="BD26" s="139">
        <v>6881</v>
      </c>
      <c r="BE26" s="139">
        <v>2639</v>
      </c>
      <c r="BF26" s="139">
        <v>2402</v>
      </c>
      <c r="BG26" s="139" t="s">
        <v>1099</v>
      </c>
      <c r="BH26" s="139">
        <v>89</v>
      </c>
      <c r="BI26" s="139" t="s">
        <v>310</v>
      </c>
      <c r="BJ26" s="139">
        <v>10526</v>
      </c>
      <c r="BK26" s="139">
        <v>3582</v>
      </c>
      <c r="BL26" s="139">
        <v>34.03</v>
      </c>
    </row>
    <row r="27" spans="1:64" ht="43.2" x14ac:dyDescent="0.3">
      <c r="A27" s="139">
        <v>21</v>
      </c>
      <c r="B27" s="139" t="s">
        <v>299</v>
      </c>
      <c r="C27" s="139">
        <v>4429</v>
      </c>
      <c r="D27" s="139">
        <v>377</v>
      </c>
      <c r="E27" s="139">
        <v>8.51</v>
      </c>
      <c r="F27" s="142">
        <v>176</v>
      </c>
      <c r="G27" s="142">
        <v>3.97</v>
      </c>
      <c r="H27" s="139">
        <v>444</v>
      </c>
      <c r="I27" s="139" t="s">
        <v>1100</v>
      </c>
      <c r="J27" s="139">
        <v>235</v>
      </c>
      <c r="K27" s="139" t="s">
        <v>1101</v>
      </c>
      <c r="L27" s="139">
        <v>431</v>
      </c>
      <c r="M27" s="139">
        <v>87</v>
      </c>
      <c r="N27" s="139" t="s">
        <v>1102</v>
      </c>
      <c r="O27" s="139">
        <v>83</v>
      </c>
      <c r="P27" s="139" t="s">
        <v>1103</v>
      </c>
      <c r="Q27" s="139">
        <v>4126</v>
      </c>
      <c r="R27" s="139" t="s">
        <v>490</v>
      </c>
      <c r="S27" s="139">
        <v>85912</v>
      </c>
      <c r="T27" s="139">
        <v>64195</v>
      </c>
      <c r="U27" s="139">
        <v>63952</v>
      </c>
      <c r="V27" s="139">
        <v>99.62</v>
      </c>
      <c r="W27" s="139">
        <v>62931</v>
      </c>
      <c r="X27" s="139" t="s">
        <v>1104</v>
      </c>
      <c r="Y27" s="139">
        <v>35486</v>
      </c>
      <c r="Z27" s="139">
        <v>19797</v>
      </c>
      <c r="AA27" s="139">
        <v>3577</v>
      </c>
      <c r="AB27" s="139" t="s">
        <v>1105</v>
      </c>
      <c r="AC27" s="139">
        <v>19300</v>
      </c>
      <c r="AD27" s="139" t="s">
        <v>396</v>
      </c>
      <c r="AE27" s="139">
        <v>22060</v>
      </c>
      <c r="AF27" s="139">
        <v>3961</v>
      </c>
      <c r="AG27" s="139" t="s">
        <v>1106</v>
      </c>
      <c r="AH27" s="139">
        <v>90562</v>
      </c>
      <c r="AI27" s="139">
        <v>12073</v>
      </c>
      <c r="AJ27" s="139" t="s">
        <v>1107</v>
      </c>
      <c r="AK27" s="142">
        <v>112622</v>
      </c>
      <c r="AL27" s="142">
        <v>16034</v>
      </c>
      <c r="AM27" s="142">
        <v>14.24</v>
      </c>
      <c r="AN27" s="139">
        <v>57761</v>
      </c>
      <c r="AO27" s="139" t="s">
        <v>1108</v>
      </c>
      <c r="AP27" s="139">
        <v>21735</v>
      </c>
      <c r="AQ27" s="139" t="s">
        <v>1109</v>
      </c>
      <c r="AR27" s="139">
        <v>63211</v>
      </c>
      <c r="AS27" s="139">
        <v>547</v>
      </c>
      <c r="AT27" s="139">
        <v>284</v>
      </c>
      <c r="AU27" s="139">
        <v>102</v>
      </c>
      <c r="AV27" s="139">
        <v>226</v>
      </c>
      <c r="AW27" s="139" t="s">
        <v>1110</v>
      </c>
      <c r="AX27" s="139">
        <v>21583</v>
      </c>
      <c r="AY27" s="139">
        <v>301</v>
      </c>
      <c r="AZ27" s="139">
        <v>104</v>
      </c>
      <c r="BA27" s="139">
        <v>25</v>
      </c>
      <c r="BB27" s="139">
        <v>437</v>
      </c>
      <c r="BC27" s="140" t="s">
        <v>1111</v>
      </c>
      <c r="BD27" s="139">
        <v>7635</v>
      </c>
      <c r="BE27" s="139">
        <v>3036</v>
      </c>
      <c r="BF27" s="139">
        <v>2324</v>
      </c>
      <c r="BG27" s="139" t="s">
        <v>1112</v>
      </c>
      <c r="BH27" s="139">
        <v>339</v>
      </c>
      <c r="BI27" s="139" t="s">
        <v>1113</v>
      </c>
      <c r="BJ27" s="139">
        <v>11304</v>
      </c>
      <c r="BK27" s="139">
        <v>7165</v>
      </c>
      <c r="BL27" s="139">
        <v>63.38</v>
      </c>
    </row>
    <row r="28" spans="1:64" ht="57.6" x14ac:dyDescent="0.3">
      <c r="A28" s="139">
        <v>22</v>
      </c>
      <c r="B28" s="139" t="s">
        <v>301</v>
      </c>
      <c r="C28" s="139">
        <v>2064</v>
      </c>
      <c r="D28" s="139">
        <v>247</v>
      </c>
      <c r="E28" s="139">
        <v>11.97</v>
      </c>
      <c r="F28" s="142">
        <v>108</v>
      </c>
      <c r="G28" s="142">
        <v>5.23</v>
      </c>
      <c r="H28" s="139">
        <v>276</v>
      </c>
      <c r="I28" s="139" t="s">
        <v>1114</v>
      </c>
      <c r="J28" s="139">
        <v>191</v>
      </c>
      <c r="K28" s="139" t="s">
        <v>983</v>
      </c>
      <c r="L28" s="139">
        <v>240</v>
      </c>
      <c r="M28" s="139">
        <v>55</v>
      </c>
      <c r="N28" s="139" t="s">
        <v>1115</v>
      </c>
      <c r="O28" s="139">
        <v>44</v>
      </c>
      <c r="P28" s="139" t="s">
        <v>1116</v>
      </c>
      <c r="Q28" s="139">
        <v>1947</v>
      </c>
      <c r="R28" s="139" t="s">
        <v>1117</v>
      </c>
      <c r="S28" s="139">
        <v>49344</v>
      </c>
      <c r="T28" s="139">
        <v>50372</v>
      </c>
      <c r="U28" s="139">
        <v>49291</v>
      </c>
      <c r="V28" s="139">
        <v>97.85</v>
      </c>
      <c r="W28" s="139">
        <v>50211</v>
      </c>
      <c r="X28" s="139" t="s">
        <v>1118</v>
      </c>
      <c r="Y28" s="139">
        <v>19525</v>
      </c>
      <c r="Z28" s="139">
        <v>11714</v>
      </c>
      <c r="AA28" s="139">
        <v>271</v>
      </c>
      <c r="AB28" s="139" t="s">
        <v>1119</v>
      </c>
      <c r="AC28" s="139">
        <v>11713</v>
      </c>
      <c r="AD28" s="139" t="s">
        <v>425</v>
      </c>
      <c r="AE28" s="139">
        <v>12315</v>
      </c>
      <c r="AF28" s="139">
        <v>914</v>
      </c>
      <c r="AG28" s="139" t="s">
        <v>1003</v>
      </c>
      <c r="AH28" s="139">
        <v>46561</v>
      </c>
      <c r="AI28" s="139">
        <v>3178</v>
      </c>
      <c r="AJ28" s="139" t="s">
        <v>1120</v>
      </c>
      <c r="AK28" s="142">
        <v>58876</v>
      </c>
      <c r="AL28" s="142">
        <v>4092</v>
      </c>
      <c r="AM28" s="142">
        <v>6.95</v>
      </c>
      <c r="AN28" s="139">
        <v>23321</v>
      </c>
      <c r="AO28" s="139" t="s">
        <v>1121</v>
      </c>
      <c r="AP28" s="139">
        <v>7514</v>
      </c>
      <c r="AQ28" s="139" t="s">
        <v>1122</v>
      </c>
      <c r="AR28" s="139">
        <v>23172</v>
      </c>
      <c r="AS28" s="139">
        <v>112</v>
      </c>
      <c r="AT28" s="139">
        <v>44</v>
      </c>
      <c r="AU28" s="139">
        <v>28</v>
      </c>
      <c r="AV28" s="139">
        <v>44</v>
      </c>
      <c r="AW28" s="139" t="s">
        <v>1123</v>
      </c>
      <c r="AX28" s="139">
        <v>5673</v>
      </c>
      <c r="AY28" s="139">
        <v>26</v>
      </c>
      <c r="AZ28" s="139">
        <v>7</v>
      </c>
      <c r="BA28" s="139">
        <v>2</v>
      </c>
      <c r="BB28" s="139">
        <v>744</v>
      </c>
      <c r="BC28" s="140" t="s">
        <v>1124</v>
      </c>
      <c r="BD28" s="139">
        <v>5949</v>
      </c>
      <c r="BE28" s="139">
        <v>2961</v>
      </c>
      <c r="BF28" s="139">
        <v>890</v>
      </c>
      <c r="BG28" s="139" t="s">
        <v>997</v>
      </c>
      <c r="BH28" s="139">
        <v>15</v>
      </c>
      <c r="BI28" s="139" t="s">
        <v>1125</v>
      </c>
      <c r="BJ28" s="139">
        <v>6345</v>
      </c>
      <c r="BK28" s="139">
        <v>3198</v>
      </c>
      <c r="BL28" s="139">
        <v>50.4</v>
      </c>
    </row>
    <row r="29" spans="1:64" ht="57.6" x14ac:dyDescent="0.3">
      <c r="A29" s="139">
        <v>23</v>
      </c>
      <c r="B29" s="139" t="s">
        <v>302</v>
      </c>
      <c r="C29" s="139">
        <v>2144</v>
      </c>
      <c r="D29" s="139">
        <v>168</v>
      </c>
      <c r="E29" s="139">
        <v>7.84</v>
      </c>
      <c r="F29" s="142">
        <v>148</v>
      </c>
      <c r="G29" s="142">
        <v>6.9</v>
      </c>
      <c r="H29" s="139">
        <v>384</v>
      </c>
      <c r="I29" s="139" t="s">
        <v>1126</v>
      </c>
      <c r="J29" s="139">
        <v>234</v>
      </c>
      <c r="K29" s="139" t="s">
        <v>1127</v>
      </c>
      <c r="L29" s="139">
        <v>213</v>
      </c>
      <c r="M29" s="139">
        <v>72</v>
      </c>
      <c r="N29" s="139" t="s">
        <v>1128</v>
      </c>
      <c r="O29" s="139">
        <v>63</v>
      </c>
      <c r="P29" s="139" t="s">
        <v>1129</v>
      </c>
      <c r="Q29" s="139">
        <v>1949</v>
      </c>
      <c r="R29" s="139" t="s">
        <v>1130</v>
      </c>
      <c r="S29" s="139">
        <v>53950</v>
      </c>
      <c r="T29" s="139">
        <v>26906</v>
      </c>
      <c r="U29" s="139">
        <v>26491</v>
      </c>
      <c r="V29" s="139">
        <v>98.46</v>
      </c>
      <c r="W29" s="139">
        <v>26087</v>
      </c>
      <c r="X29" s="139" t="s">
        <v>1131</v>
      </c>
      <c r="Y29" s="139">
        <v>21776</v>
      </c>
      <c r="Z29" s="139">
        <v>12331</v>
      </c>
      <c r="AA29" s="139">
        <v>2978</v>
      </c>
      <c r="AB29" s="139" t="s">
        <v>1132</v>
      </c>
      <c r="AC29" s="139">
        <v>12246</v>
      </c>
      <c r="AD29" s="139" t="s">
        <v>1094</v>
      </c>
      <c r="AE29" s="139">
        <v>15265</v>
      </c>
      <c r="AF29" s="139">
        <v>554</v>
      </c>
      <c r="AG29" s="139" t="s">
        <v>928</v>
      </c>
      <c r="AH29" s="139">
        <v>58859</v>
      </c>
      <c r="AI29" s="139">
        <v>1716</v>
      </c>
      <c r="AJ29" s="139" t="s">
        <v>1133</v>
      </c>
      <c r="AK29" s="142">
        <v>74124</v>
      </c>
      <c r="AL29" s="142">
        <v>2270</v>
      </c>
      <c r="AM29" s="142">
        <v>3.06</v>
      </c>
      <c r="AN29" s="139">
        <v>17126</v>
      </c>
      <c r="AO29" s="139" t="s">
        <v>1134</v>
      </c>
      <c r="AP29" s="139">
        <v>7720</v>
      </c>
      <c r="AQ29" s="139" t="s">
        <v>1135</v>
      </c>
      <c r="AR29" s="139">
        <v>21207</v>
      </c>
      <c r="AS29" s="139">
        <v>367</v>
      </c>
      <c r="AT29" s="139">
        <v>120</v>
      </c>
      <c r="AU29" s="139">
        <v>21</v>
      </c>
      <c r="AV29" s="139">
        <v>58</v>
      </c>
      <c r="AW29" s="139" t="s">
        <v>1136</v>
      </c>
      <c r="AX29" s="139">
        <v>8266</v>
      </c>
      <c r="AY29" s="139">
        <v>251</v>
      </c>
      <c r="AZ29" s="139">
        <v>166</v>
      </c>
      <c r="BA29" s="139">
        <v>12</v>
      </c>
      <c r="BB29" s="139">
        <v>218</v>
      </c>
      <c r="BC29" s="139" t="s">
        <v>1137</v>
      </c>
      <c r="BD29" s="139">
        <v>6589</v>
      </c>
      <c r="BE29" s="139">
        <v>1926</v>
      </c>
      <c r="BF29" s="139">
        <v>962</v>
      </c>
      <c r="BG29" s="139" t="s">
        <v>1138</v>
      </c>
      <c r="BH29" s="139">
        <v>9</v>
      </c>
      <c r="BI29" s="139" t="s">
        <v>1139</v>
      </c>
      <c r="BJ29" s="139">
        <v>6486</v>
      </c>
      <c r="BK29" s="139">
        <v>3006</v>
      </c>
      <c r="BL29" s="139">
        <v>46.35</v>
      </c>
    </row>
    <row r="30" spans="1:64" ht="43.2" x14ac:dyDescent="0.3">
      <c r="A30" s="139">
        <v>24</v>
      </c>
      <c r="B30" s="139" t="s">
        <v>303</v>
      </c>
      <c r="C30" s="139">
        <v>5472</v>
      </c>
      <c r="D30" s="139">
        <v>578</v>
      </c>
      <c r="E30" s="139">
        <v>10.56</v>
      </c>
      <c r="F30" s="142">
        <v>355</v>
      </c>
      <c r="G30" s="142">
        <v>6.49</v>
      </c>
      <c r="H30" s="139">
        <v>982</v>
      </c>
      <c r="I30" s="139" t="s">
        <v>599</v>
      </c>
      <c r="J30" s="139">
        <v>562</v>
      </c>
      <c r="K30" s="139" t="s">
        <v>1140</v>
      </c>
      <c r="L30" s="139">
        <v>693</v>
      </c>
      <c r="M30" s="139">
        <v>168</v>
      </c>
      <c r="N30" s="139" t="s">
        <v>1141</v>
      </c>
      <c r="O30" s="139">
        <v>159</v>
      </c>
      <c r="P30" s="139" t="s">
        <v>1142</v>
      </c>
      <c r="Q30" s="139">
        <v>4958</v>
      </c>
      <c r="R30" s="139" t="s">
        <v>1143</v>
      </c>
      <c r="S30" s="139">
        <v>79007</v>
      </c>
      <c r="T30" s="139">
        <v>45514</v>
      </c>
      <c r="U30" s="139">
        <v>44509</v>
      </c>
      <c r="V30" s="139">
        <v>97.79</v>
      </c>
      <c r="W30" s="139">
        <v>45304</v>
      </c>
      <c r="X30" s="139" t="s">
        <v>1144</v>
      </c>
      <c r="Y30" s="139">
        <v>29077</v>
      </c>
      <c r="Z30" s="139">
        <v>16739</v>
      </c>
      <c r="AA30" s="139">
        <v>693</v>
      </c>
      <c r="AB30" s="139" t="s">
        <v>1145</v>
      </c>
      <c r="AC30" s="139">
        <v>16773</v>
      </c>
      <c r="AD30" s="140" t="s">
        <v>1146</v>
      </c>
      <c r="AE30" s="139">
        <v>20821</v>
      </c>
      <c r="AF30" s="139">
        <v>1981</v>
      </c>
      <c r="AG30" s="139" t="s">
        <v>1147</v>
      </c>
      <c r="AH30" s="139">
        <v>80907</v>
      </c>
      <c r="AI30" s="139">
        <v>7389</v>
      </c>
      <c r="AJ30" s="139" t="s">
        <v>1148</v>
      </c>
      <c r="AK30" s="142">
        <v>101728</v>
      </c>
      <c r="AL30" s="142">
        <v>9370</v>
      </c>
      <c r="AM30" s="142">
        <v>9.2100000000000009</v>
      </c>
      <c r="AN30" s="139">
        <v>24284</v>
      </c>
      <c r="AO30" s="139" t="s">
        <v>1149</v>
      </c>
      <c r="AP30" s="139">
        <v>9969</v>
      </c>
      <c r="AQ30" s="139" t="s">
        <v>1150</v>
      </c>
      <c r="AR30" s="139">
        <v>41099</v>
      </c>
      <c r="AS30" s="139">
        <v>787</v>
      </c>
      <c r="AT30" s="139">
        <v>46</v>
      </c>
      <c r="AU30" s="139">
        <v>32</v>
      </c>
      <c r="AV30" s="139">
        <v>41</v>
      </c>
      <c r="AW30" s="139" t="s">
        <v>1151</v>
      </c>
      <c r="AX30" s="139">
        <v>10796</v>
      </c>
      <c r="AY30" s="139">
        <v>650</v>
      </c>
      <c r="AZ30" s="139">
        <v>27</v>
      </c>
      <c r="BA30" s="139">
        <v>177</v>
      </c>
      <c r="BB30" s="139">
        <v>2</v>
      </c>
      <c r="BC30" s="139" t="s">
        <v>1152</v>
      </c>
      <c r="BD30" s="139">
        <v>8760</v>
      </c>
      <c r="BE30" s="139">
        <v>1629</v>
      </c>
      <c r="BF30" s="139">
        <v>1647</v>
      </c>
      <c r="BG30" s="139" t="s">
        <v>1112</v>
      </c>
      <c r="BH30" s="139">
        <v>100</v>
      </c>
      <c r="BI30" s="139" t="s">
        <v>1153</v>
      </c>
      <c r="BJ30" s="139">
        <v>10690</v>
      </c>
      <c r="BK30" s="139">
        <v>3426</v>
      </c>
      <c r="BL30" s="139">
        <v>32.049999999999997</v>
      </c>
    </row>
    <row r="31" spans="1:64" ht="43.2" x14ac:dyDescent="0.3">
      <c r="A31" s="139">
        <v>25</v>
      </c>
      <c r="B31" s="139" t="s">
        <v>304</v>
      </c>
      <c r="C31" s="139">
        <v>5140</v>
      </c>
      <c r="D31" s="139">
        <v>319</v>
      </c>
      <c r="E31" s="139">
        <v>6.21</v>
      </c>
      <c r="F31" s="142">
        <v>341</v>
      </c>
      <c r="G31" s="142">
        <v>6.63</v>
      </c>
      <c r="H31" s="139">
        <v>715</v>
      </c>
      <c r="I31" s="139" t="s">
        <v>1154</v>
      </c>
      <c r="J31" s="139">
        <v>499</v>
      </c>
      <c r="K31" s="139" t="s">
        <v>1155</v>
      </c>
      <c r="L31" s="139">
        <v>453</v>
      </c>
      <c r="M31" s="139">
        <v>338</v>
      </c>
      <c r="N31" s="139" t="s">
        <v>1156</v>
      </c>
      <c r="O31" s="139">
        <v>313</v>
      </c>
      <c r="P31" s="139" t="s">
        <v>1157</v>
      </c>
      <c r="Q31" s="139">
        <v>4912</v>
      </c>
      <c r="R31" s="139" t="s">
        <v>1158</v>
      </c>
      <c r="S31" s="139">
        <v>65430</v>
      </c>
      <c r="T31" s="139">
        <v>38095</v>
      </c>
      <c r="U31" s="139">
        <v>36347</v>
      </c>
      <c r="V31" s="139">
        <v>95.41</v>
      </c>
      <c r="W31" s="139">
        <v>38006</v>
      </c>
      <c r="X31" s="139" t="s">
        <v>527</v>
      </c>
      <c r="Y31" s="139">
        <v>25843</v>
      </c>
      <c r="Z31" s="139">
        <v>14849</v>
      </c>
      <c r="AA31" s="139">
        <v>802</v>
      </c>
      <c r="AB31" s="139" t="s">
        <v>1159</v>
      </c>
      <c r="AC31" s="139">
        <v>13534</v>
      </c>
      <c r="AD31" s="139" t="s">
        <v>1160</v>
      </c>
      <c r="AE31" s="139">
        <v>6926</v>
      </c>
      <c r="AF31" s="139">
        <v>6385</v>
      </c>
      <c r="AG31" s="139" t="s">
        <v>1161</v>
      </c>
      <c r="AH31" s="139">
        <v>28621</v>
      </c>
      <c r="AI31" s="139">
        <v>24979</v>
      </c>
      <c r="AJ31" s="139" t="s">
        <v>712</v>
      </c>
      <c r="AK31" s="142">
        <v>35547</v>
      </c>
      <c r="AL31" s="142">
        <v>31364</v>
      </c>
      <c r="AM31" s="142">
        <v>88.23</v>
      </c>
      <c r="AN31" s="139">
        <v>20463</v>
      </c>
      <c r="AO31" s="139" t="s">
        <v>1162</v>
      </c>
      <c r="AP31" s="139">
        <v>11395</v>
      </c>
      <c r="AQ31" s="139" t="s">
        <v>1163</v>
      </c>
      <c r="AR31" s="139">
        <v>60837</v>
      </c>
      <c r="AS31" s="139">
        <v>935</v>
      </c>
      <c r="AT31" s="139">
        <v>25</v>
      </c>
      <c r="AU31" s="139">
        <v>16</v>
      </c>
      <c r="AV31" s="139">
        <v>6</v>
      </c>
      <c r="AW31" s="139" t="s">
        <v>1164</v>
      </c>
      <c r="AX31" s="139">
        <v>9207</v>
      </c>
      <c r="AY31" s="139">
        <v>76</v>
      </c>
      <c r="AZ31" s="139">
        <v>15</v>
      </c>
      <c r="BA31" s="139">
        <v>3</v>
      </c>
      <c r="BB31" s="139">
        <v>0</v>
      </c>
      <c r="BC31" s="139" t="s">
        <v>1165</v>
      </c>
      <c r="BD31" s="139">
        <v>8550</v>
      </c>
      <c r="BE31" s="139">
        <v>2243</v>
      </c>
      <c r="BF31" s="139">
        <v>1118</v>
      </c>
      <c r="BG31" s="139" t="s">
        <v>1166</v>
      </c>
      <c r="BH31" s="139">
        <v>46</v>
      </c>
      <c r="BI31" s="139" t="s">
        <v>836</v>
      </c>
      <c r="BJ31" s="139">
        <v>10582</v>
      </c>
      <c r="BK31" s="139">
        <v>3887</v>
      </c>
      <c r="BL31" s="139">
        <v>36.729999999999997</v>
      </c>
    </row>
    <row r="32" spans="1:64" ht="57.6" x14ac:dyDescent="0.3">
      <c r="A32" s="139">
        <v>26</v>
      </c>
      <c r="B32" s="139" t="s">
        <v>305</v>
      </c>
      <c r="C32" s="139">
        <v>3664</v>
      </c>
      <c r="D32" s="139">
        <v>295</v>
      </c>
      <c r="E32" s="139">
        <v>8.0500000000000007</v>
      </c>
      <c r="F32" s="142">
        <v>206</v>
      </c>
      <c r="G32" s="142">
        <v>5.62</v>
      </c>
      <c r="H32" s="139">
        <v>613</v>
      </c>
      <c r="I32" s="139" t="s">
        <v>1167</v>
      </c>
      <c r="J32" s="139">
        <v>386</v>
      </c>
      <c r="K32" s="139" t="s">
        <v>1168</v>
      </c>
      <c r="L32" s="139">
        <v>351</v>
      </c>
      <c r="M32" s="139">
        <v>135</v>
      </c>
      <c r="N32" s="139" t="s">
        <v>1169</v>
      </c>
      <c r="O32" s="139">
        <v>132</v>
      </c>
      <c r="P32" s="139" t="s">
        <v>1170</v>
      </c>
      <c r="Q32" s="139">
        <v>3406</v>
      </c>
      <c r="R32" s="139" t="s">
        <v>1171</v>
      </c>
      <c r="S32" s="139">
        <v>68497</v>
      </c>
      <c r="T32" s="139">
        <v>44972</v>
      </c>
      <c r="U32" s="139">
        <v>42713</v>
      </c>
      <c r="V32" s="139">
        <v>94.98</v>
      </c>
      <c r="W32" s="139">
        <v>44839</v>
      </c>
      <c r="X32" s="139" t="s">
        <v>1172</v>
      </c>
      <c r="Y32" s="139">
        <v>31562</v>
      </c>
      <c r="Z32" s="139">
        <v>12273</v>
      </c>
      <c r="AA32" s="139">
        <v>1579</v>
      </c>
      <c r="AB32" s="139" t="s">
        <v>1173</v>
      </c>
      <c r="AC32" s="139">
        <v>12121</v>
      </c>
      <c r="AD32" s="139" t="s">
        <v>1174</v>
      </c>
      <c r="AE32" s="139">
        <v>19308</v>
      </c>
      <c r="AF32" s="139">
        <v>824</v>
      </c>
      <c r="AG32" s="139" t="s">
        <v>1099</v>
      </c>
      <c r="AH32" s="139">
        <v>72271</v>
      </c>
      <c r="AI32" s="139">
        <v>2737</v>
      </c>
      <c r="AJ32" s="139" t="s">
        <v>1175</v>
      </c>
      <c r="AK32" s="142">
        <v>91579</v>
      </c>
      <c r="AL32" s="142">
        <v>3561</v>
      </c>
      <c r="AM32" s="142">
        <v>3.89</v>
      </c>
      <c r="AN32" s="139">
        <v>47847</v>
      </c>
      <c r="AO32" s="139" t="s">
        <v>1176</v>
      </c>
      <c r="AP32" s="139">
        <v>9883</v>
      </c>
      <c r="AQ32" s="139" t="s">
        <v>1177</v>
      </c>
      <c r="AR32" s="139">
        <v>29848</v>
      </c>
      <c r="AS32" s="139">
        <v>119</v>
      </c>
      <c r="AT32" s="139">
        <v>192</v>
      </c>
      <c r="AU32" s="139">
        <v>15</v>
      </c>
      <c r="AV32" s="139">
        <v>66</v>
      </c>
      <c r="AW32" s="139" t="s">
        <v>1178</v>
      </c>
      <c r="AX32" s="139">
        <v>10470</v>
      </c>
      <c r="AY32" s="139">
        <v>317</v>
      </c>
      <c r="AZ32" s="139">
        <v>21</v>
      </c>
      <c r="BA32" s="139">
        <v>26</v>
      </c>
      <c r="BB32" s="139">
        <v>42</v>
      </c>
      <c r="BC32" s="139" t="s">
        <v>1179</v>
      </c>
      <c r="BD32" s="139">
        <v>5654</v>
      </c>
      <c r="BE32" s="139">
        <v>2465</v>
      </c>
      <c r="BF32" s="139">
        <v>772</v>
      </c>
      <c r="BG32" s="139" t="s">
        <v>864</v>
      </c>
      <c r="BH32" s="139">
        <v>20</v>
      </c>
      <c r="BI32" s="139" t="s">
        <v>1180</v>
      </c>
      <c r="BJ32" s="139">
        <v>9014</v>
      </c>
      <c r="BK32" s="139">
        <v>5029</v>
      </c>
      <c r="BL32" s="139">
        <v>55.79</v>
      </c>
    </row>
    <row r="33" spans="1:64" ht="57.6" x14ac:dyDescent="0.3">
      <c r="A33" s="139">
        <v>27</v>
      </c>
      <c r="B33" s="139" t="s">
        <v>306</v>
      </c>
      <c r="C33" s="139">
        <v>4872</v>
      </c>
      <c r="D33" s="139">
        <v>518</v>
      </c>
      <c r="E33" s="139">
        <v>10.63</v>
      </c>
      <c r="F33" s="142">
        <v>178</v>
      </c>
      <c r="G33" s="142">
        <v>3.65</v>
      </c>
      <c r="H33" s="139">
        <v>760</v>
      </c>
      <c r="I33" s="139" t="s">
        <v>1181</v>
      </c>
      <c r="J33" s="139">
        <v>401</v>
      </c>
      <c r="K33" s="139" t="s">
        <v>470</v>
      </c>
      <c r="L33" s="139">
        <v>583</v>
      </c>
      <c r="M33" s="139">
        <v>105</v>
      </c>
      <c r="N33" s="139" t="s">
        <v>1182</v>
      </c>
      <c r="O33" s="139">
        <v>108</v>
      </c>
      <c r="P33" s="139" t="s">
        <v>1183</v>
      </c>
      <c r="Q33" s="139">
        <v>4562</v>
      </c>
      <c r="R33" s="139" t="s">
        <v>1184</v>
      </c>
      <c r="S33" s="139">
        <v>115468</v>
      </c>
      <c r="T33" s="139">
        <v>63964</v>
      </c>
      <c r="U33" s="139">
        <v>62893</v>
      </c>
      <c r="V33" s="139">
        <v>98.33</v>
      </c>
      <c r="W33" s="139">
        <v>63351</v>
      </c>
      <c r="X33" s="139" t="s">
        <v>1185</v>
      </c>
      <c r="Y33" s="139">
        <v>38966</v>
      </c>
      <c r="Z33" s="139">
        <v>22120</v>
      </c>
      <c r="AA33" s="139">
        <v>1374</v>
      </c>
      <c r="AB33" s="139" t="s">
        <v>626</v>
      </c>
      <c r="AC33" s="139">
        <v>21874</v>
      </c>
      <c r="AD33" s="139" t="s">
        <v>901</v>
      </c>
      <c r="AE33" s="139">
        <v>19911</v>
      </c>
      <c r="AF33" s="139">
        <v>940</v>
      </c>
      <c r="AG33" s="139" t="s">
        <v>1186</v>
      </c>
      <c r="AH33" s="139">
        <v>78390</v>
      </c>
      <c r="AI33" s="139">
        <v>2060</v>
      </c>
      <c r="AJ33" s="139" t="s">
        <v>1187</v>
      </c>
      <c r="AK33" s="142">
        <v>98301</v>
      </c>
      <c r="AL33" s="142">
        <v>3000</v>
      </c>
      <c r="AM33" s="142">
        <v>3.05</v>
      </c>
      <c r="AN33" s="139">
        <v>44410</v>
      </c>
      <c r="AO33" s="139" t="s">
        <v>1169</v>
      </c>
      <c r="AP33" s="139">
        <v>13908</v>
      </c>
      <c r="AQ33" s="139" t="s">
        <v>1188</v>
      </c>
      <c r="AR33" s="139">
        <v>49222</v>
      </c>
      <c r="AS33" s="139">
        <v>568</v>
      </c>
      <c r="AT33" s="139">
        <v>142</v>
      </c>
      <c r="AU33" s="139">
        <v>74</v>
      </c>
      <c r="AV33" s="139">
        <v>97</v>
      </c>
      <c r="AW33" s="139" t="s">
        <v>1189</v>
      </c>
      <c r="AX33" s="139">
        <v>13703</v>
      </c>
      <c r="AY33" s="139">
        <v>972</v>
      </c>
      <c r="AZ33" s="139">
        <v>35</v>
      </c>
      <c r="BA33" s="139">
        <v>33</v>
      </c>
      <c r="BB33" s="139">
        <v>34</v>
      </c>
      <c r="BC33" s="139" t="s">
        <v>1190</v>
      </c>
      <c r="BD33" s="139">
        <v>15622</v>
      </c>
      <c r="BE33" s="139">
        <v>4744</v>
      </c>
      <c r="BF33" s="139">
        <v>1992</v>
      </c>
      <c r="BG33" s="139" t="s">
        <v>1191</v>
      </c>
      <c r="BH33" s="139">
        <v>38</v>
      </c>
      <c r="BI33" s="139" t="s">
        <v>1192</v>
      </c>
      <c r="BJ33" s="139">
        <v>11895</v>
      </c>
      <c r="BK33" s="139">
        <v>4838</v>
      </c>
      <c r="BL33" s="139">
        <v>40.67</v>
      </c>
    </row>
    <row r="34" spans="1:64" ht="43.2" x14ac:dyDescent="0.3">
      <c r="A34" s="139">
        <v>28</v>
      </c>
      <c r="B34" s="139" t="s">
        <v>308</v>
      </c>
      <c r="C34" s="139">
        <v>5511</v>
      </c>
      <c r="D34" s="139">
        <v>604</v>
      </c>
      <c r="E34" s="139">
        <v>10.96</v>
      </c>
      <c r="F34" s="142">
        <v>334</v>
      </c>
      <c r="G34" s="142">
        <v>6.06</v>
      </c>
      <c r="H34" s="139">
        <v>1169</v>
      </c>
      <c r="I34" s="139" t="s">
        <v>1193</v>
      </c>
      <c r="J34" s="139">
        <v>616</v>
      </c>
      <c r="K34" s="139" t="s">
        <v>1194</v>
      </c>
      <c r="L34" s="139">
        <v>647</v>
      </c>
      <c r="M34" s="139">
        <v>180</v>
      </c>
      <c r="N34" s="139" t="s">
        <v>1195</v>
      </c>
      <c r="O34" s="139">
        <v>158</v>
      </c>
      <c r="P34" s="139" t="s">
        <v>1196</v>
      </c>
      <c r="Q34" s="139">
        <v>5255</v>
      </c>
      <c r="R34" s="139" t="s">
        <v>1197</v>
      </c>
      <c r="S34" s="139">
        <v>124539</v>
      </c>
      <c r="T34" s="139">
        <v>71550</v>
      </c>
      <c r="U34" s="139">
        <v>67924</v>
      </c>
      <c r="V34" s="139">
        <v>94.93</v>
      </c>
      <c r="W34" s="139">
        <v>71175</v>
      </c>
      <c r="X34" s="139" t="s">
        <v>1198</v>
      </c>
      <c r="Y34" s="139">
        <v>50331</v>
      </c>
      <c r="Z34" s="139">
        <v>20482</v>
      </c>
      <c r="AA34" s="139">
        <v>535</v>
      </c>
      <c r="AB34" s="139" t="s">
        <v>1199</v>
      </c>
      <c r="AC34" s="139">
        <v>20071</v>
      </c>
      <c r="AD34" s="139" t="s">
        <v>478</v>
      </c>
      <c r="AE34" s="139">
        <v>31354</v>
      </c>
      <c r="AF34" s="139">
        <v>483</v>
      </c>
      <c r="AG34" s="139" t="s">
        <v>1200</v>
      </c>
      <c r="AH34" s="139">
        <v>112218</v>
      </c>
      <c r="AI34" s="139">
        <v>1329</v>
      </c>
      <c r="AJ34" s="139" t="s">
        <v>1201</v>
      </c>
      <c r="AK34" s="142">
        <v>143572</v>
      </c>
      <c r="AL34" s="142">
        <v>1812</v>
      </c>
      <c r="AM34" s="142">
        <v>1.26</v>
      </c>
      <c r="AN34" s="139">
        <v>19117</v>
      </c>
      <c r="AO34" s="139" t="s">
        <v>1202</v>
      </c>
      <c r="AP34" s="139">
        <v>8739</v>
      </c>
      <c r="AQ34" s="139" t="s">
        <v>657</v>
      </c>
      <c r="AR34" s="139">
        <v>19336</v>
      </c>
      <c r="AS34" s="139">
        <v>88</v>
      </c>
      <c r="AT34" s="139">
        <v>26</v>
      </c>
      <c r="AU34" s="139">
        <v>17</v>
      </c>
      <c r="AV34" s="139">
        <v>8</v>
      </c>
      <c r="AW34" s="139" t="s">
        <v>1203</v>
      </c>
      <c r="AX34" s="139">
        <v>7498</v>
      </c>
      <c r="AY34" s="139">
        <v>263</v>
      </c>
      <c r="AZ34" s="139">
        <v>19</v>
      </c>
      <c r="BA34" s="139">
        <v>0</v>
      </c>
      <c r="BB34" s="139">
        <v>31</v>
      </c>
      <c r="BC34" s="139" t="s">
        <v>1204</v>
      </c>
      <c r="BD34" s="139">
        <v>2332</v>
      </c>
      <c r="BE34" s="139">
        <v>977</v>
      </c>
      <c r="BF34" s="139">
        <v>1519</v>
      </c>
      <c r="BG34" s="139" t="s">
        <v>1093</v>
      </c>
      <c r="BH34" s="139">
        <v>7</v>
      </c>
      <c r="BI34" s="139" t="s">
        <v>880</v>
      </c>
      <c r="BJ34" s="139">
        <v>12329</v>
      </c>
      <c r="BK34" s="139">
        <v>4639</v>
      </c>
      <c r="BL34" s="139">
        <v>37.630000000000003</v>
      </c>
    </row>
    <row r="35" spans="1:64" ht="43.2" x14ac:dyDescent="0.3">
      <c r="A35" s="139">
        <v>29</v>
      </c>
      <c r="B35" s="139" t="s">
        <v>309</v>
      </c>
      <c r="C35" s="139">
        <v>3972</v>
      </c>
      <c r="D35" s="139">
        <v>638</v>
      </c>
      <c r="E35" s="139">
        <v>16.059999999999999</v>
      </c>
      <c r="F35" s="142">
        <v>220</v>
      </c>
      <c r="G35" s="142">
        <v>5.54</v>
      </c>
      <c r="H35" s="139">
        <v>786</v>
      </c>
      <c r="I35" s="139" t="s">
        <v>1205</v>
      </c>
      <c r="J35" s="139">
        <v>479</v>
      </c>
      <c r="K35" s="139" t="s">
        <v>844</v>
      </c>
      <c r="L35" s="139">
        <v>699</v>
      </c>
      <c r="M35" s="139">
        <v>92</v>
      </c>
      <c r="N35" s="139" t="s">
        <v>1206</v>
      </c>
      <c r="O35" s="139">
        <v>91</v>
      </c>
      <c r="P35" s="139" t="s">
        <v>1207</v>
      </c>
      <c r="Q35" s="139">
        <v>3663</v>
      </c>
      <c r="R35" s="139" t="s">
        <v>512</v>
      </c>
      <c r="S35" s="139">
        <v>89407</v>
      </c>
      <c r="T35" s="139">
        <v>82605</v>
      </c>
      <c r="U35" s="139">
        <v>73892</v>
      </c>
      <c r="V35" s="139">
        <v>89.45</v>
      </c>
      <c r="W35" s="139">
        <v>82494</v>
      </c>
      <c r="X35" s="139" t="s">
        <v>508</v>
      </c>
      <c r="Y35" s="139">
        <v>28084</v>
      </c>
      <c r="Z35" s="139">
        <v>13125</v>
      </c>
      <c r="AA35" s="139">
        <v>762</v>
      </c>
      <c r="AB35" s="139" t="s">
        <v>600</v>
      </c>
      <c r="AC35" s="139">
        <v>13114</v>
      </c>
      <c r="AD35" s="139" t="s">
        <v>1208</v>
      </c>
      <c r="AE35" s="139">
        <v>13803</v>
      </c>
      <c r="AF35" s="139">
        <v>317</v>
      </c>
      <c r="AG35" s="139" t="s">
        <v>1209</v>
      </c>
      <c r="AH35" s="139">
        <v>51596</v>
      </c>
      <c r="AI35" s="139">
        <v>691</v>
      </c>
      <c r="AJ35" s="139" t="s">
        <v>1210</v>
      </c>
      <c r="AK35" s="142">
        <v>65399</v>
      </c>
      <c r="AL35" s="142">
        <v>1008</v>
      </c>
      <c r="AM35" s="142">
        <v>1.54</v>
      </c>
      <c r="AN35" s="139">
        <v>20502</v>
      </c>
      <c r="AO35" s="139" t="s">
        <v>1211</v>
      </c>
      <c r="AP35" s="139">
        <v>3161</v>
      </c>
      <c r="AQ35" s="139" t="s">
        <v>1212</v>
      </c>
      <c r="AR35" s="139">
        <v>29600</v>
      </c>
      <c r="AS35" s="139">
        <v>1489</v>
      </c>
      <c r="AT35" s="139">
        <v>38</v>
      </c>
      <c r="AU35" s="139">
        <v>63</v>
      </c>
      <c r="AV35" s="139">
        <v>62</v>
      </c>
      <c r="AW35" s="139" t="s">
        <v>1213</v>
      </c>
      <c r="AX35" s="139">
        <v>3571</v>
      </c>
      <c r="AY35" s="139">
        <v>165</v>
      </c>
      <c r="AZ35" s="139">
        <v>28</v>
      </c>
      <c r="BA35" s="139">
        <v>12</v>
      </c>
      <c r="BB35" s="139">
        <v>54</v>
      </c>
      <c r="BC35" s="139" t="s">
        <v>1214</v>
      </c>
      <c r="BD35" s="139">
        <v>3716</v>
      </c>
      <c r="BE35" s="139">
        <v>1975</v>
      </c>
      <c r="BF35" s="139">
        <v>1614</v>
      </c>
      <c r="BG35" s="139" t="s">
        <v>1215</v>
      </c>
      <c r="BH35" s="139">
        <v>4</v>
      </c>
      <c r="BI35" s="139" t="s">
        <v>880</v>
      </c>
      <c r="BJ35" s="139">
        <v>9235</v>
      </c>
      <c r="BK35" s="139">
        <v>1517</v>
      </c>
      <c r="BL35" s="139">
        <v>16.43</v>
      </c>
    </row>
    <row r="36" spans="1:64" ht="43.2" x14ac:dyDescent="0.3">
      <c r="A36" s="139">
        <v>30</v>
      </c>
      <c r="B36" s="139" t="s">
        <v>4</v>
      </c>
      <c r="C36" s="139">
        <v>369</v>
      </c>
      <c r="D36" s="139">
        <v>20</v>
      </c>
      <c r="E36" s="139">
        <v>5.42</v>
      </c>
      <c r="F36" s="142">
        <v>23</v>
      </c>
      <c r="G36" s="142">
        <v>6.23</v>
      </c>
      <c r="H36" s="139">
        <v>165</v>
      </c>
      <c r="I36" s="139" t="s">
        <v>1216</v>
      </c>
      <c r="J36" s="139">
        <v>35</v>
      </c>
      <c r="K36" s="139" t="s">
        <v>1217</v>
      </c>
      <c r="L36" s="139">
        <v>34</v>
      </c>
      <c r="M36" s="139">
        <v>15</v>
      </c>
      <c r="N36" s="139" t="s">
        <v>1218</v>
      </c>
      <c r="O36" s="139">
        <v>17</v>
      </c>
      <c r="P36" s="139" t="s">
        <v>1219</v>
      </c>
      <c r="Q36" s="139">
        <v>301</v>
      </c>
      <c r="R36" s="139" t="s">
        <v>1220</v>
      </c>
      <c r="S36" s="139">
        <v>6976</v>
      </c>
      <c r="T36" s="139">
        <v>3295</v>
      </c>
      <c r="U36" s="139">
        <v>3193</v>
      </c>
      <c r="V36" s="139">
        <v>96.9</v>
      </c>
      <c r="W36" s="139">
        <v>3294</v>
      </c>
      <c r="X36" s="139" t="s">
        <v>1221</v>
      </c>
      <c r="Y36" s="139">
        <v>2839</v>
      </c>
      <c r="Z36" s="139">
        <v>1671</v>
      </c>
      <c r="AA36" s="139">
        <v>12</v>
      </c>
      <c r="AB36" s="139" t="s">
        <v>1222</v>
      </c>
      <c r="AC36" s="139">
        <v>1671</v>
      </c>
      <c r="AD36" s="139">
        <v>100</v>
      </c>
      <c r="AE36" s="139">
        <v>1597</v>
      </c>
      <c r="AF36" s="139">
        <v>180</v>
      </c>
      <c r="AG36" s="139" t="s">
        <v>1223</v>
      </c>
      <c r="AH36" s="139">
        <v>6222</v>
      </c>
      <c r="AI36" s="139">
        <v>510</v>
      </c>
      <c r="AJ36" s="139" t="s">
        <v>1224</v>
      </c>
      <c r="AK36" s="142">
        <v>7819</v>
      </c>
      <c r="AL36" s="142">
        <v>690</v>
      </c>
      <c r="AM36" s="142">
        <v>8.82</v>
      </c>
      <c r="AN36" s="139">
        <v>2396</v>
      </c>
      <c r="AO36" s="139" t="s">
        <v>1225</v>
      </c>
      <c r="AP36" s="139">
        <v>1665</v>
      </c>
      <c r="AQ36" s="139" t="s">
        <v>1226</v>
      </c>
      <c r="AR36" s="139">
        <v>2290</v>
      </c>
      <c r="AS36" s="139">
        <v>62</v>
      </c>
      <c r="AT36" s="139">
        <v>58</v>
      </c>
      <c r="AU36" s="139">
        <v>57</v>
      </c>
      <c r="AV36" s="139">
        <v>44</v>
      </c>
      <c r="AW36" s="139" t="s">
        <v>1227</v>
      </c>
      <c r="AX36" s="139">
        <v>1628</v>
      </c>
      <c r="AY36" s="139">
        <v>38</v>
      </c>
      <c r="AZ36" s="139">
        <v>20</v>
      </c>
      <c r="BA36" s="139">
        <v>33</v>
      </c>
      <c r="BB36" s="139">
        <v>20</v>
      </c>
      <c r="BC36" s="139" t="s">
        <v>1228</v>
      </c>
      <c r="BD36" s="139">
        <v>486</v>
      </c>
      <c r="BE36" s="139">
        <v>127</v>
      </c>
      <c r="BF36" s="139">
        <v>59</v>
      </c>
      <c r="BG36" s="139" t="s">
        <v>1229</v>
      </c>
      <c r="BH36" s="139">
        <v>0</v>
      </c>
      <c r="BI36" s="139">
        <v>0</v>
      </c>
      <c r="BJ36" s="139">
        <v>772</v>
      </c>
      <c r="BK36" s="139">
        <v>195</v>
      </c>
      <c r="BL36" s="139">
        <v>25.26</v>
      </c>
    </row>
    <row r="37" spans="1:64" ht="43.2" x14ac:dyDescent="0.3">
      <c r="A37" s="139">
        <v>31</v>
      </c>
      <c r="B37" s="139" t="s">
        <v>5</v>
      </c>
      <c r="C37" s="139">
        <v>1178</v>
      </c>
      <c r="D37" s="139">
        <v>62</v>
      </c>
      <c r="E37" s="139">
        <v>5.26</v>
      </c>
      <c r="F37" s="142">
        <v>68</v>
      </c>
      <c r="G37" s="142">
        <v>5.77</v>
      </c>
      <c r="H37" s="139">
        <v>275</v>
      </c>
      <c r="I37" s="139" t="s">
        <v>1230</v>
      </c>
      <c r="J37" s="139">
        <v>44</v>
      </c>
      <c r="K37" s="139" t="s">
        <v>1231</v>
      </c>
      <c r="L37" s="139">
        <v>84</v>
      </c>
      <c r="M37" s="139">
        <v>37</v>
      </c>
      <c r="N37" s="139" t="s">
        <v>1232</v>
      </c>
      <c r="O37" s="139">
        <v>29</v>
      </c>
      <c r="P37" s="139" t="s">
        <v>1233</v>
      </c>
      <c r="Q37" s="139">
        <v>1145</v>
      </c>
      <c r="R37" s="139" t="s">
        <v>1234</v>
      </c>
      <c r="S37" s="139">
        <v>35043</v>
      </c>
      <c r="T37" s="139">
        <v>16480</v>
      </c>
      <c r="U37" s="139">
        <v>16329</v>
      </c>
      <c r="V37" s="139">
        <v>99.08</v>
      </c>
      <c r="W37" s="139">
        <v>16464</v>
      </c>
      <c r="X37" s="139" t="s">
        <v>1235</v>
      </c>
      <c r="Y37" s="139">
        <v>13391</v>
      </c>
      <c r="Z37" s="139">
        <v>7172</v>
      </c>
      <c r="AA37" s="139">
        <v>950</v>
      </c>
      <c r="AB37" s="139" t="s">
        <v>1236</v>
      </c>
      <c r="AC37" s="139">
        <v>7123</v>
      </c>
      <c r="AD37" s="139" t="s">
        <v>1237</v>
      </c>
      <c r="AE37" s="139">
        <v>9429</v>
      </c>
      <c r="AF37" s="139">
        <v>1639</v>
      </c>
      <c r="AG37" s="139" t="s">
        <v>1238</v>
      </c>
      <c r="AH37" s="139">
        <v>36669</v>
      </c>
      <c r="AI37" s="139">
        <v>6041</v>
      </c>
      <c r="AJ37" s="139" t="s">
        <v>1239</v>
      </c>
      <c r="AK37" s="142">
        <v>46098</v>
      </c>
      <c r="AL37" s="142">
        <v>7680</v>
      </c>
      <c r="AM37" s="142">
        <v>16.66</v>
      </c>
      <c r="AN37" s="139">
        <v>10536</v>
      </c>
      <c r="AO37" s="139" t="s">
        <v>1240</v>
      </c>
      <c r="AP37" s="139">
        <v>6677</v>
      </c>
      <c r="AQ37" s="139" t="s">
        <v>1241</v>
      </c>
      <c r="AR37" s="139">
        <v>10903</v>
      </c>
      <c r="AS37" s="139">
        <v>221</v>
      </c>
      <c r="AT37" s="139">
        <v>152</v>
      </c>
      <c r="AU37" s="139">
        <v>47</v>
      </c>
      <c r="AV37" s="139">
        <v>151</v>
      </c>
      <c r="AW37" s="139" t="s">
        <v>1242</v>
      </c>
      <c r="AX37" s="139">
        <v>7427</v>
      </c>
      <c r="AY37" s="139">
        <v>27</v>
      </c>
      <c r="AZ37" s="139">
        <v>50</v>
      </c>
      <c r="BA37" s="139">
        <v>26</v>
      </c>
      <c r="BB37" s="139">
        <v>46</v>
      </c>
      <c r="BC37" s="139" t="s">
        <v>1243</v>
      </c>
      <c r="BD37" s="139">
        <v>2486</v>
      </c>
      <c r="BE37" s="139">
        <v>975</v>
      </c>
      <c r="BF37" s="139">
        <v>101</v>
      </c>
      <c r="BG37" s="139" t="s">
        <v>1244</v>
      </c>
      <c r="BH37" s="139">
        <v>0</v>
      </c>
      <c r="BI37" s="139">
        <v>0</v>
      </c>
      <c r="BJ37" s="139">
        <v>3190</v>
      </c>
      <c r="BK37" s="139">
        <v>1256</v>
      </c>
      <c r="BL37" s="139">
        <v>39.369999999999997</v>
      </c>
    </row>
    <row r="38" spans="1:64" ht="28.8" x14ac:dyDescent="0.3">
      <c r="A38" s="139">
        <v>32</v>
      </c>
      <c r="B38" s="139" t="s">
        <v>6</v>
      </c>
      <c r="C38" s="139">
        <v>787</v>
      </c>
      <c r="D38" s="139">
        <v>30</v>
      </c>
      <c r="E38" s="139">
        <v>3.81</v>
      </c>
      <c r="F38" s="142">
        <v>56</v>
      </c>
      <c r="G38" s="142">
        <v>7.12</v>
      </c>
      <c r="H38" s="139">
        <v>150</v>
      </c>
      <c r="I38" s="139" t="s">
        <v>1245</v>
      </c>
      <c r="J38" s="139">
        <v>45</v>
      </c>
      <c r="K38" s="139" t="s">
        <v>1246</v>
      </c>
      <c r="L38" s="139">
        <v>63</v>
      </c>
      <c r="M38" s="139">
        <v>51</v>
      </c>
      <c r="N38" s="139" t="s">
        <v>1247</v>
      </c>
      <c r="O38" s="139">
        <v>48</v>
      </c>
      <c r="P38" s="139" t="s">
        <v>1248</v>
      </c>
      <c r="Q38" s="139">
        <v>731</v>
      </c>
      <c r="R38" s="139" t="s">
        <v>502</v>
      </c>
      <c r="S38" s="139">
        <v>15553</v>
      </c>
      <c r="T38" s="139">
        <v>5837</v>
      </c>
      <c r="U38" s="139">
        <v>5549</v>
      </c>
      <c r="V38" s="139">
        <v>95.07</v>
      </c>
      <c r="W38" s="139">
        <v>5831</v>
      </c>
      <c r="X38" s="139" t="s">
        <v>1235</v>
      </c>
      <c r="Y38" s="139">
        <v>5593</v>
      </c>
      <c r="Z38" s="139">
        <v>3144</v>
      </c>
      <c r="AA38" s="139">
        <v>888</v>
      </c>
      <c r="AB38" s="139" t="s">
        <v>1249</v>
      </c>
      <c r="AC38" s="139">
        <v>3144</v>
      </c>
      <c r="AD38" s="139">
        <v>100</v>
      </c>
      <c r="AE38" s="139">
        <v>4351</v>
      </c>
      <c r="AF38" s="139">
        <v>1394</v>
      </c>
      <c r="AG38" s="139" t="s">
        <v>1250</v>
      </c>
      <c r="AH38" s="139">
        <v>17701</v>
      </c>
      <c r="AI38" s="139">
        <v>4619</v>
      </c>
      <c r="AJ38" s="139" t="s">
        <v>1251</v>
      </c>
      <c r="AK38" s="142">
        <v>22052</v>
      </c>
      <c r="AL38" s="142">
        <v>6013</v>
      </c>
      <c r="AM38" s="142">
        <v>27.27</v>
      </c>
      <c r="AN38" s="139">
        <v>8783</v>
      </c>
      <c r="AO38" s="139" t="s">
        <v>598</v>
      </c>
      <c r="AP38" s="139">
        <v>9329</v>
      </c>
      <c r="AQ38" s="140" t="s">
        <v>1252</v>
      </c>
      <c r="AR38" s="139">
        <v>9464</v>
      </c>
      <c r="AS38" s="139">
        <v>86</v>
      </c>
      <c r="AT38" s="139">
        <v>12</v>
      </c>
      <c r="AU38" s="139">
        <v>26</v>
      </c>
      <c r="AV38" s="139">
        <v>12</v>
      </c>
      <c r="AW38" s="139" t="s">
        <v>1253</v>
      </c>
      <c r="AX38" s="139">
        <v>8175</v>
      </c>
      <c r="AY38" s="139">
        <v>274</v>
      </c>
      <c r="AZ38" s="139">
        <v>40</v>
      </c>
      <c r="BA38" s="139">
        <v>36</v>
      </c>
      <c r="BB38" s="139">
        <v>36</v>
      </c>
      <c r="BC38" s="139" t="s">
        <v>1211</v>
      </c>
      <c r="BD38" s="139">
        <v>1311</v>
      </c>
      <c r="BE38" s="139">
        <v>1146</v>
      </c>
      <c r="BF38" s="139">
        <v>51</v>
      </c>
      <c r="BG38" s="139" t="s">
        <v>1254</v>
      </c>
      <c r="BH38" s="139">
        <v>0</v>
      </c>
      <c r="BI38" s="139">
        <v>0</v>
      </c>
      <c r="BJ38" s="139">
        <v>1546</v>
      </c>
      <c r="BK38" s="139">
        <v>831</v>
      </c>
      <c r="BL38" s="139">
        <v>53.75</v>
      </c>
    </row>
    <row r="39" spans="1:64" ht="43.2" x14ac:dyDescent="0.3">
      <c r="A39" s="139">
        <v>33</v>
      </c>
      <c r="B39" s="139" t="s">
        <v>7</v>
      </c>
      <c r="C39" s="139">
        <v>6029</v>
      </c>
      <c r="D39" s="139">
        <v>151</v>
      </c>
      <c r="E39" s="139">
        <v>2.5</v>
      </c>
      <c r="F39" s="142">
        <v>123</v>
      </c>
      <c r="G39" s="142">
        <v>2.04</v>
      </c>
      <c r="H39" s="139">
        <v>871</v>
      </c>
      <c r="I39" s="139" t="s">
        <v>1255</v>
      </c>
      <c r="J39" s="139">
        <v>145</v>
      </c>
      <c r="K39" s="139" t="s">
        <v>1256</v>
      </c>
      <c r="L39" s="139">
        <v>196</v>
      </c>
      <c r="M39" s="139">
        <v>82</v>
      </c>
      <c r="N39" s="139" t="s">
        <v>1257</v>
      </c>
      <c r="O39" s="139">
        <v>49</v>
      </c>
      <c r="P39" s="139" t="s">
        <v>1258</v>
      </c>
      <c r="Q39" s="139">
        <v>6033</v>
      </c>
      <c r="R39" s="140" t="s">
        <v>1259</v>
      </c>
      <c r="S39" s="139">
        <v>103540</v>
      </c>
      <c r="T39" s="139">
        <v>62024</v>
      </c>
      <c r="U39" s="139">
        <v>55435</v>
      </c>
      <c r="V39" s="139">
        <v>89.38</v>
      </c>
      <c r="W39" s="139">
        <v>61972</v>
      </c>
      <c r="X39" s="139" t="s">
        <v>1208</v>
      </c>
      <c r="Y39" s="139">
        <v>43140</v>
      </c>
      <c r="Z39" s="139">
        <v>20502</v>
      </c>
      <c r="AA39" s="139">
        <v>1360</v>
      </c>
      <c r="AB39" s="139" t="s">
        <v>1260</v>
      </c>
      <c r="AC39" s="139">
        <v>20392</v>
      </c>
      <c r="AD39" s="139" t="s">
        <v>1064</v>
      </c>
      <c r="AE39" s="139">
        <v>32050</v>
      </c>
      <c r="AF39" s="139">
        <v>3338</v>
      </c>
      <c r="AG39" s="139" t="s">
        <v>1261</v>
      </c>
      <c r="AH39" s="139">
        <v>117208</v>
      </c>
      <c r="AI39" s="139">
        <v>12150</v>
      </c>
      <c r="AJ39" s="139" t="s">
        <v>1262</v>
      </c>
      <c r="AK39" s="142">
        <v>149258</v>
      </c>
      <c r="AL39" s="142">
        <v>15488</v>
      </c>
      <c r="AM39" s="142">
        <v>10.38</v>
      </c>
      <c r="AN39" s="139">
        <v>31652</v>
      </c>
      <c r="AO39" s="139" t="s">
        <v>831</v>
      </c>
      <c r="AP39" s="139">
        <v>18301</v>
      </c>
      <c r="AQ39" s="139" t="s">
        <v>1263</v>
      </c>
      <c r="AR39" s="139">
        <v>39167</v>
      </c>
      <c r="AS39" s="139">
        <v>1040</v>
      </c>
      <c r="AT39" s="139">
        <v>108</v>
      </c>
      <c r="AU39" s="139">
        <v>76</v>
      </c>
      <c r="AV39" s="139">
        <v>44</v>
      </c>
      <c r="AW39" s="139" t="s">
        <v>1264</v>
      </c>
      <c r="AX39" s="139">
        <v>19519</v>
      </c>
      <c r="AY39" s="139">
        <v>762</v>
      </c>
      <c r="AZ39" s="139">
        <v>32</v>
      </c>
      <c r="BA39" s="139">
        <v>54</v>
      </c>
      <c r="BB39" s="139">
        <v>445</v>
      </c>
      <c r="BC39" s="139" t="s">
        <v>1265</v>
      </c>
      <c r="BD39" s="139">
        <v>4092</v>
      </c>
      <c r="BE39" s="139">
        <v>2045</v>
      </c>
      <c r="BF39" s="139">
        <v>856</v>
      </c>
      <c r="BG39" s="139" t="s">
        <v>1266</v>
      </c>
      <c r="BH39" s="139">
        <v>125</v>
      </c>
      <c r="BI39" s="139" t="s">
        <v>1244</v>
      </c>
      <c r="BJ39" s="139">
        <v>12136</v>
      </c>
      <c r="BK39" s="139">
        <v>5173</v>
      </c>
      <c r="BL39" s="139">
        <v>42.63</v>
      </c>
    </row>
    <row r="40" spans="1:64" ht="43.2" x14ac:dyDescent="0.3">
      <c r="A40" s="139">
        <v>34</v>
      </c>
      <c r="B40" s="139" t="s">
        <v>8</v>
      </c>
      <c r="C40" s="139">
        <v>1962</v>
      </c>
      <c r="D40" s="139">
        <v>116</v>
      </c>
      <c r="E40" s="139">
        <v>5.91</v>
      </c>
      <c r="F40" s="142">
        <v>158</v>
      </c>
      <c r="G40" s="142">
        <v>8.0500000000000007</v>
      </c>
      <c r="H40" s="139">
        <v>499</v>
      </c>
      <c r="I40" s="139" t="s">
        <v>1267</v>
      </c>
      <c r="J40" s="139">
        <v>125</v>
      </c>
      <c r="K40" s="139" t="s">
        <v>1268</v>
      </c>
      <c r="L40" s="139">
        <v>211</v>
      </c>
      <c r="M40" s="139">
        <v>133</v>
      </c>
      <c r="N40" s="139" t="s">
        <v>1269</v>
      </c>
      <c r="O40" s="139">
        <v>153</v>
      </c>
      <c r="P40" s="139" t="s">
        <v>1270</v>
      </c>
      <c r="Q40" s="139">
        <v>1931</v>
      </c>
      <c r="R40" s="139" t="s">
        <v>408</v>
      </c>
      <c r="S40" s="139">
        <v>26603</v>
      </c>
      <c r="T40" s="139">
        <v>13752</v>
      </c>
      <c r="U40" s="139">
        <v>13111</v>
      </c>
      <c r="V40" s="139">
        <v>95.34</v>
      </c>
      <c r="W40" s="139">
        <v>13552</v>
      </c>
      <c r="X40" s="139" t="s">
        <v>1271</v>
      </c>
      <c r="Y40" s="139">
        <v>9821</v>
      </c>
      <c r="Z40" s="139">
        <v>6310</v>
      </c>
      <c r="AA40" s="139">
        <v>6172</v>
      </c>
      <c r="AB40" s="139" t="s">
        <v>1272</v>
      </c>
      <c r="AC40" s="139">
        <v>6294</v>
      </c>
      <c r="AD40" s="139" t="s">
        <v>1273</v>
      </c>
      <c r="AE40" s="139">
        <v>2467</v>
      </c>
      <c r="AF40" s="139">
        <v>1774</v>
      </c>
      <c r="AG40" s="139" t="s">
        <v>1274</v>
      </c>
      <c r="AH40" s="139">
        <v>11067</v>
      </c>
      <c r="AI40" s="139">
        <v>8221</v>
      </c>
      <c r="AJ40" s="139" t="s">
        <v>1275</v>
      </c>
      <c r="AK40" s="142">
        <v>13534</v>
      </c>
      <c r="AL40" s="142">
        <v>9995</v>
      </c>
      <c r="AM40" s="142">
        <v>73.849999999999994</v>
      </c>
      <c r="AN40" s="139">
        <v>9744</v>
      </c>
      <c r="AO40" s="139" t="s">
        <v>1276</v>
      </c>
      <c r="AP40" s="139">
        <v>5888</v>
      </c>
      <c r="AQ40" s="139" t="s">
        <v>1277</v>
      </c>
      <c r="AR40" s="139">
        <v>9387</v>
      </c>
      <c r="AS40" s="139">
        <v>208</v>
      </c>
      <c r="AT40" s="139">
        <v>145</v>
      </c>
      <c r="AU40" s="139">
        <v>143</v>
      </c>
      <c r="AV40" s="139">
        <v>146</v>
      </c>
      <c r="AW40" s="139" t="s">
        <v>1278</v>
      </c>
      <c r="AX40" s="139">
        <v>5948</v>
      </c>
      <c r="AY40" s="139">
        <v>112</v>
      </c>
      <c r="AZ40" s="139">
        <v>103</v>
      </c>
      <c r="BA40" s="139">
        <v>84</v>
      </c>
      <c r="BB40" s="139">
        <v>103</v>
      </c>
      <c r="BC40" s="139" t="s">
        <v>1279</v>
      </c>
      <c r="BD40" s="139">
        <v>1671</v>
      </c>
      <c r="BE40" s="139">
        <v>3178</v>
      </c>
      <c r="BF40" s="139">
        <v>732</v>
      </c>
      <c r="BG40" s="139" t="s">
        <v>274</v>
      </c>
      <c r="BH40" s="139">
        <v>534</v>
      </c>
      <c r="BI40" s="139" t="s">
        <v>1280</v>
      </c>
      <c r="BJ40" s="139">
        <v>3763</v>
      </c>
      <c r="BK40" s="139">
        <v>3750</v>
      </c>
      <c r="BL40" s="139">
        <v>99.65</v>
      </c>
    </row>
    <row r="41" spans="1:64" ht="28.8" x14ac:dyDescent="0.3">
      <c r="A41" s="139">
        <v>35</v>
      </c>
      <c r="B41" s="139" t="s">
        <v>9</v>
      </c>
      <c r="C41" s="139">
        <v>260</v>
      </c>
      <c r="D41" s="139">
        <v>8</v>
      </c>
      <c r="E41" s="139">
        <v>3.08</v>
      </c>
      <c r="F41" s="142">
        <v>16</v>
      </c>
      <c r="G41" s="142">
        <v>6.15</v>
      </c>
      <c r="H41" s="139">
        <v>60</v>
      </c>
      <c r="I41" s="139" t="s">
        <v>1281</v>
      </c>
      <c r="J41" s="139">
        <v>10</v>
      </c>
      <c r="K41" s="139" t="s">
        <v>1085</v>
      </c>
      <c r="L41" s="139">
        <v>15</v>
      </c>
      <c r="M41" s="139">
        <v>9</v>
      </c>
      <c r="N41" s="139">
        <v>60</v>
      </c>
      <c r="O41" s="139">
        <v>6</v>
      </c>
      <c r="P41" s="139" t="s">
        <v>1282</v>
      </c>
      <c r="Q41" s="139">
        <v>249</v>
      </c>
      <c r="R41" s="139" t="s">
        <v>1283</v>
      </c>
      <c r="S41" s="139">
        <v>10682</v>
      </c>
      <c r="T41" s="139">
        <v>7789</v>
      </c>
      <c r="U41" s="139">
        <v>7654</v>
      </c>
      <c r="V41" s="139">
        <v>98.27</v>
      </c>
      <c r="W41" s="139">
        <v>7780</v>
      </c>
      <c r="X41" s="139" t="s">
        <v>1284</v>
      </c>
      <c r="Y41" s="139">
        <v>4472</v>
      </c>
      <c r="Z41" s="139">
        <v>948</v>
      </c>
      <c r="AA41" s="139">
        <v>34</v>
      </c>
      <c r="AB41" s="139" t="s">
        <v>1285</v>
      </c>
      <c r="AC41" s="139">
        <v>919</v>
      </c>
      <c r="AD41" s="139" t="s">
        <v>1286</v>
      </c>
      <c r="AE41" s="139">
        <v>1378</v>
      </c>
      <c r="AF41" s="139">
        <v>70</v>
      </c>
      <c r="AG41" s="139" t="s">
        <v>1287</v>
      </c>
      <c r="AH41" s="139">
        <v>4499</v>
      </c>
      <c r="AI41" s="139">
        <v>207</v>
      </c>
      <c r="AJ41" s="139" t="s">
        <v>1288</v>
      </c>
      <c r="AK41" s="142">
        <v>5877</v>
      </c>
      <c r="AL41" s="142">
        <v>277</v>
      </c>
      <c r="AM41" s="142">
        <v>4.71</v>
      </c>
      <c r="AN41" s="139">
        <v>4731</v>
      </c>
      <c r="AO41" s="139" t="s">
        <v>1289</v>
      </c>
      <c r="AP41" s="139">
        <v>4936</v>
      </c>
      <c r="AQ41" s="140" t="s">
        <v>1290</v>
      </c>
      <c r="AR41" s="139">
        <v>4576</v>
      </c>
      <c r="AS41" s="139">
        <v>0</v>
      </c>
      <c r="AT41" s="139">
        <v>0</v>
      </c>
      <c r="AU41" s="139">
        <v>0</v>
      </c>
      <c r="AV41" s="139">
        <v>0</v>
      </c>
      <c r="AW41" s="139">
        <v>0</v>
      </c>
      <c r="AX41" s="139">
        <v>4885</v>
      </c>
      <c r="AY41" s="139">
        <v>33</v>
      </c>
      <c r="AZ41" s="139">
        <v>0</v>
      </c>
      <c r="BA41" s="139">
        <v>16</v>
      </c>
      <c r="BB41" s="139">
        <v>0</v>
      </c>
      <c r="BC41" s="139" t="s">
        <v>1291</v>
      </c>
      <c r="BD41" s="139">
        <v>761</v>
      </c>
      <c r="BE41" s="139">
        <v>622</v>
      </c>
      <c r="BF41" s="139">
        <v>52</v>
      </c>
      <c r="BG41" s="139" t="s">
        <v>1292</v>
      </c>
      <c r="BH41" s="139">
        <v>7</v>
      </c>
      <c r="BI41" s="139" t="s">
        <v>1293</v>
      </c>
      <c r="BJ41" s="139">
        <v>684</v>
      </c>
      <c r="BK41" s="139">
        <v>240</v>
      </c>
      <c r="BL41" s="139">
        <v>35.090000000000003</v>
      </c>
    </row>
    <row r="42" spans="1:64" x14ac:dyDescent="0.3">
      <c r="A42" s="211" t="s">
        <v>312</v>
      </c>
      <c r="B42" s="211"/>
      <c r="C42" s="139">
        <v>118250</v>
      </c>
      <c r="D42" s="139">
        <v>10760</v>
      </c>
      <c r="E42" s="139">
        <v>9.1</v>
      </c>
      <c r="F42" s="127">
        <v>7374</v>
      </c>
      <c r="G42" s="127">
        <v>6.24</v>
      </c>
      <c r="H42" s="139">
        <v>23713</v>
      </c>
      <c r="I42" s="139" t="s">
        <v>821</v>
      </c>
      <c r="J42" s="139">
        <v>11503</v>
      </c>
      <c r="K42" s="139" t="s">
        <v>1294</v>
      </c>
      <c r="L42" s="139">
        <v>13153</v>
      </c>
      <c r="M42" s="139">
        <v>4557</v>
      </c>
      <c r="N42" s="139" t="s">
        <v>1295</v>
      </c>
      <c r="O42" s="139">
        <v>4166</v>
      </c>
      <c r="P42" s="139" t="s">
        <v>1296</v>
      </c>
      <c r="Q42" s="139">
        <v>110355</v>
      </c>
      <c r="R42" s="139" t="s">
        <v>484</v>
      </c>
      <c r="S42" s="139">
        <v>2198023</v>
      </c>
      <c r="T42" s="139">
        <v>1520999</v>
      </c>
      <c r="U42" s="139">
        <v>1462399</v>
      </c>
      <c r="V42" s="139">
        <v>96.15</v>
      </c>
      <c r="W42" s="139">
        <v>1501716</v>
      </c>
      <c r="X42" s="139" t="s">
        <v>1037</v>
      </c>
      <c r="Y42" s="139">
        <v>879374</v>
      </c>
      <c r="Z42" s="139">
        <v>490135</v>
      </c>
      <c r="AA42" s="139">
        <v>53873</v>
      </c>
      <c r="AB42" s="139" t="s">
        <v>1204</v>
      </c>
      <c r="AC42" s="139">
        <v>474755</v>
      </c>
      <c r="AD42" s="139" t="s">
        <v>648</v>
      </c>
      <c r="AE42" s="139">
        <v>552107</v>
      </c>
      <c r="AF42" s="139">
        <v>67914</v>
      </c>
      <c r="AG42" s="139" t="s">
        <v>1297</v>
      </c>
      <c r="AH42" s="139">
        <v>2111798</v>
      </c>
      <c r="AI42" s="139">
        <v>244609</v>
      </c>
      <c r="AJ42" s="139" t="s">
        <v>1298</v>
      </c>
      <c r="AK42" s="142">
        <v>2663905</v>
      </c>
      <c r="AL42" s="142">
        <v>312523</v>
      </c>
      <c r="AM42" s="142">
        <v>11.73</v>
      </c>
      <c r="AN42" s="139">
        <v>908129</v>
      </c>
      <c r="AO42" s="139" t="s">
        <v>1299</v>
      </c>
      <c r="AP42" s="139">
        <v>378701</v>
      </c>
      <c r="AQ42" s="139" t="s">
        <v>1300</v>
      </c>
      <c r="AR42" s="139">
        <v>1275554</v>
      </c>
      <c r="AS42" s="139">
        <v>22548</v>
      </c>
      <c r="AT42" s="139">
        <v>3631</v>
      </c>
      <c r="AU42" s="139">
        <v>2756</v>
      </c>
      <c r="AV42" s="139">
        <v>2954</v>
      </c>
      <c r="AW42" s="139" t="s">
        <v>1301</v>
      </c>
      <c r="AX42" s="139">
        <v>427012</v>
      </c>
      <c r="AY42" s="139">
        <v>10421</v>
      </c>
      <c r="AZ42" s="139">
        <v>3139</v>
      </c>
      <c r="BA42" s="139">
        <v>1073</v>
      </c>
      <c r="BB42" s="139">
        <v>3239</v>
      </c>
      <c r="BC42" s="139" t="s">
        <v>1302</v>
      </c>
      <c r="BD42" s="139">
        <v>228846</v>
      </c>
      <c r="BE42" s="139">
        <v>85109</v>
      </c>
      <c r="BF42" s="139">
        <v>39567</v>
      </c>
      <c r="BG42" s="139" t="s">
        <v>1303</v>
      </c>
      <c r="BH42" s="139">
        <v>2772</v>
      </c>
      <c r="BI42" s="139" t="s">
        <v>1304</v>
      </c>
      <c r="BJ42" s="139">
        <v>275635</v>
      </c>
      <c r="BK42" s="139">
        <v>113712</v>
      </c>
      <c r="BL42" s="139">
        <v>41.25</v>
      </c>
    </row>
  </sheetData>
  <mergeCells count="63">
    <mergeCell ref="A42:B42"/>
    <mergeCell ref="BE4:BE5"/>
    <mergeCell ref="BF4:BF5"/>
    <mergeCell ref="BG4:BG5"/>
    <mergeCell ref="BH4:BH5"/>
    <mergeCell ref="AS4:AS5"/>
    <mergeCell ref="AT4:AT5"/>
    <mergeCell ref="AU4:AU5"/>
    <mergeCell ref="AV4:AV5"/>
    <mergeCell ref="AW4:AW5"/>
    <mergeCell ref="AX4:AX5"/>
    <mergeCell ref="AM4:AM5"/>
    <mergeCell ref="AN4:AN5"/>
    <mergeCell ref="AO4:AO5"/>
    <mergeCell ref="AP4:AP5"/>
    <mergeCell ref="AQ4:AQ5"/>
    <mergeCell ref="BI4:BI5"/>
    <mergeCell ref="BJ4:BL4"/>
    <mergeCell ref="AY4:AY5"/>
    <mergeCell ref="AZ4:AZ5"/>
    <mergeCell ref="BA4:BA5"/>
    <mergeCell ref="BB4:BB5"/>
    <mergeCell ref="BC4:BC5"/>
    <mergeCell ref="BD4:BD5"/>
    <mergeCell ref="AR4:AR5"/>
    <mergeCell ref="AG4:AG5"/>
    <mergeCell ref="AH4:AH5"/>
    <mergeCell ref="AI4:AI5"/>
    <mergeCell ref="AJ4:AJ5"/>
    <mergeCell ref="AK4:AK5"/>
    <mergeCell ref="AL4:AL5"/>
    <mergeCell ref="AN3:AQ3"/>
    <mergeCell ref="AR3:BC3"/>
    <mergeCell ref="BD3:BE3"/>
    <mergeCell ref="BF3:BI3"/>
    <mergeCell ref="BJ3:BL3"/>
    <mergeCell ref="A3:A5"/>
    <mergeCell ref="B3:B5"/>
    <mergeCell ref="C3:C5"/>
    <mergeCell ref="D3:R3"/>
    <mergeCell ref="S3:AD3"/>
    <mergeCell ref="D4:E4"/>
    <mergeCell ref="F4:G4"/>
    <mergeCell ref="H4:I4"/>
    <mergeCell ref="J4:K4"/>
    <mergeCell ref="L4:N4"/>
    <mergeCell ref="U4:U5"/>
    <mergeCell ref="V4:V5"/>
    <mergeCell ref="W4:W5"/>
    <mergeCell ref="X4:X5"/>
    <mergeCell ref="Y4:Y5"/>
    <mergeCell ref="Z4:Z5"/>
    <mergeCell ref="AE3:AM3"/>
    <mergeCell ref="O4:P4"/>
    <mergeCell ref="Q4:R4"/>
    <mergeCell ref="S4:S5"/>
    <mergeCell ref="T4:T5"/>
    <mergeCell ref="AF4:AF5"/>
    <mergeCell ref="AA4:AA5"/>
    <mergeCell ref="AB4:AB5"/>
    <mergeCell ref="AC4:AC5"/>
    <mergeCell ref="AD4:AD5"/>
    <mergeCell ref="AE4:AE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FBF8E-04CB-4417-ABEF-5326AB944CE5}">
  <dimension ref="A1:DA42"/>
  <sheetViews>
    <sheetView tabSelected="1" topLeftCell="O1" zoomScale="92" workbookViewId="0">
      <selection activeCell="X4" sqref="X4:X5"/>
    </sheetView>
  </sheetViews>
  <sheetFormatPr defaultRowHeight="14.4" x14ac:dyDescent="0.3"/>
  <cols>
    <col min="1" max="1" width="6.33203125" style="29" customWidth="1"/>
    <col min="2" max="2" width="32.77734375" customWidth="1"/>
    <col min="3" max="22" width="8.77734375" customWidth="1"/>
    <col min="23" max="23" width="22.21875" customWidth="1"/>
    <col min="24" max="27" width="8.77734375" customWidth="1"/>
    <col min="28" max="28" width="23.77734375" customWidth="1"/>
    <col min="29" max="29" width="7.6640625" style="143" customWidth="1"/>
    <col min="30" max="31" width="8.77734375" customWidth="1"/>
    <col min="32" max="32" width="15.44140625" customWidth="1"/>
    <col min="33" max="33" width="11.21875" customWidth="1"/>
    <col min="34" max="34" width="16.88671875" customWidth="1"/>
    <col min="36" max="80" width="8.77734375" customWidth="1"/>
    <col min="81" max="81" width="19.5546875" customWidth="1"/>
    <col min="82" max="100" width="8.77734375" customWidth="1"/>
    <col min="101" max="101" width="20.109375" customWidth="1"/>
    <col min="102" max="102" width="8.77734375" customWidth="1"/>
    <col min="103" max="103" width="14.77734375" customWidth="1"/>
    <col min="104" max="104" width="17.21875" customWidth="1"/>
  </cols>
  <sheetData>
    <row r="1" spans="1:105" x14ac:dyDescent="0.3">
      <c r="A1" s="119" t="s">
        <v>1305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3"/>
      <c r="AP1" s="143"/>
      <c r="AQ1" s="143"/>
      <c r="AR1" s="143"/>
      <c r="AS1" s="143"/>
      <c r="AT1" s="143"/>
      <c r="AU1" s="143"/>
      <c r="AV1" s="143"/>
      <c r="AW1" s="143"/>
      <c r="AX1" s="143"/>
      <c r="AY1" s="143"/>
      <c r="AZ1" s="143"/>
      <c r="BA1" s="143"/>
      <c r="BB1" s="143"/>
      <c r="BC1" s="143"/>
      <c r="BD1" s="143"/>
      <c r="BE1" s="143"/>
      <c r="BF1" s="143"/>
      <c r="BG1" s="143"/>
      <c r="BH1" s="143"/>
      <c r="BI1" s="143"/>
      <c r="BJ1" s="143"/>
      <c r="BK1" s="143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  <c r="BW1" s="143"/>
      <c r="BX1" s="143"/>
      <c r="BY1" s="143"/>
      <c r="BZ1" s="143"/>
      <c r="CA1" s="143"/>
      <c r="CB1" s="143"/>
      <c r="CC1" s="143"/>
      <c r="CD1" s="143"/>
      <c r="CE1" s="143"/>
      <c r="CF1" s="143"/>
      <c r="CG1" s="143"/>
      <c r="CH1" s="143"/>
      <c r="CI1" s="143"/>
      <c r="CJ1" s="143"/>
      <c r="CK1" s="143"/>
      <c r="CL1" s="143"/>
      <c r="CM1" s="143"/>
      <c r="CN1" s="143"/>
      <c r="CO1" s="143"/>
      <c r="CP1" s="143"/>
      <c r="CQ1" s="143"/>
      <c r="CR1" s="143"/>
      <c r="CS1" s="143"/>
      <c r="CT1" s="143"/>
      <c r="CU1" s="143"/>
      <c r="CV1" s="143"/>
      <c r="CW1" s="143"/>
      <c r="CX1" s="143"/>
      <c r="CY1" s="143"/>
      <c r="CZ1" s="143"/>
      <c r="DA1" s="143"/>
    </row>
    <row r="2" spans="1:105" x14ac:dyDescent="0.3">
      <c r="A2" s="119" t="s">
        <v>0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3"/>
      <c r="AV2" s="143"/>
      <c r="AW2" s="143"/>
      <c r="AX2" s="143"/>
      <c r="AY2" s="143"/>
      <c r="AZ2" s="143"/>
      <c r="BA2" s="143"/>
      <c r="BB2" s="143"/>
      <c r="BC2" s="143"/>
      <c r="BD2" s="143"/>
      <c r="BE2" s="143"/>
      <c r="BF2" s="143"/>
      <c r="BG2" s="143"/>
      <c r="BH2" s="143"/>
      <c r="BI2" s="143"/>
      <c r="BJ2" s="143"/>
      <c r="BK2" s="143"/>
      <c r="BL2" s="143"/>
      <c r="BM2" s="143"/>
      <c r="BN2" s="143"/>
      <c r="BO2" s="143"/>
      <c r="BP2" s="143"/>
      <c r="BQ2" s="143"/>
      <c r="BR2" s="143"/>
      <c r="BS2" s="143"/>
      <c r="BT2" s="143"/>
      <c r="BU2" s="143"/>
      <c r="BV2" s="143"/>
      <c r="BW2" s="143"/>
      <c r="BX2" s="143"/>
      <c r="BY2" s="143"/>
      <c r="BZ2" s="143"/>
      <c r="CA2" s="143"/>
      <c r="CB2" s="143"/>
      <c r="CC2" s="143"/>
      <c r="CD2" s="143"/>
      <c r="CE2" s="143"/>
      <c r="CF2" s="143"/>
      <c r="CG2" s="143"/>
      <c r="CH2" s="143"/>
      <c r="CI2" s="143"/>
      <c r="CJ2" s="143"/>
      <c r="CK2" s="143"/>
      <c r="CL2" s="143"/>
      <c r="CM2" s="143"/>
      <c r="CN2" s="143"/>
      <c r="CO2" s="143"/>
      <c r="CP2" s="143"/>
      <c r="CQ2" s="143"/>
      <c r="CR2" s="143"/>
      <c r="CS2" s="143"/>
      <c r="CT2" s="143"/>
      <c r="CU2" s="143"/>
      <c r="CV2" s="143"/>
      <c r="CW2" s="143"/>
      <c r="CX2" s="143"/>
      <c r="CY2" s="143"/>
      <c r="CZ2" s="143"/>
      <c r="DA2" s="143"/>
    </row>
    <row r="3" spans="1:105" ht="14.4" customHeight="1" x14ac:dyDescent="0.3">
      <c r="A3" s="210" t="s">
        <v>1</v>
      </c>
      <c r="B3" s="210" t="s">
        <v>2</v>
      </c>
      <c r="C3" s="210" t="s">
        <v>746</v>
      </c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10"/>
      <c r="AB3" s="210"/>
      <c r="AC3" s="210"/>
      <c r="AD3" s="210"/>
      <c r="AE3" s="210"/>
      <c r="AF3" s="210" t="s">
        <v>1306</v>
      </c>
      <c r="AG3" s="210"/>
      <c r="AH3" s="210"/>
      <c r="AI3" s="210"/>
      <c r="AJ3" s="210"/>
      <c r="AK3" s="210"/>
      <c r="AL3" s="210"/>
      <c r="AM3" s="210"/>
      <c r="AN3" s="210" t="s">
        <v>1307</v>
      </c>
      <c r="AO3" s="210"/>
      <c r="AP3" s="210"/>
      <c r="AQ3" s="210"/>
      <c r="AR3" s="210"/>
      <c r="AS3" s="210"/>
      <c r="AT3" s="210"/>
      <c r="AU3" s="210"/>
      <c r="AV3" s="210"/>
      <c r="AW3" s="210"/>
      <c r="AX3" s="210"/>
      <c r="AY3" s="210"/>
      <c r="AZ3" s="210"/>
      <c r="BA3" s="210"/>
      <c r="BB3" s="210"/>
      <c r="BC3" s="210"/>
      <c r="BD3" s="210"/>
      <c r="BE3" s="210"/>
      <c r="BF3" s="210" t="s">
        <v>1308</v>
      </c>
      <c r="BG3" s="210"/>
      <c r="BH3" s="210"/>
      <c r="BI3" s="210"/>
      <c r="BJ3" s="210"/>
      <c r="BK3" s="210"/>
      <c r="BL3" s="210"/>
      <c r="BM3" s="210"/>
      <c r="BN3" s="210"/>
      <c r="BO3" s="210"/>
      <c r="BP3" s="210"/>
      <c r="BQ3" s="210"/>
      <c r="BR3" s="210"/>
      <c r="BS3" s="210"/>
      <c r="BT3" s="210"/>
      <c r="BU3" s="210"/>
      <c r="BV3" s="210"/>
      <c r="BW3" s="210"/>
      <c r="BX3" s="210"/>
      <c r="BY3" s="210"/>
      <c r="BZ3" s="210"/>
      <c r="CA3" s="210"/>
      <c r="CB3" s="210"/>
      <c r="CC3" s="210" t="s">
        <v>1309</v>
      </c>
      <c r="CD3" s="210"/>
      <c r="CE3" s="210"/>
      <c r="CF3" s="210"/>
      <c r="CG3" s="210"/>
      <c r="CH3" s="210"/>
      <c r="CI3" s="210"/>
      <c r="CJ3" s="210"/>
      <c r="CK3" s="210"/>
      <c r="CL3" s="210"/>
      <c r="CM3" s="210"/>
      <c r="CN3" s="210"/>
      <c r="CO3" s="210"/>
      <c r="CP3" s="210"/>
      <c r="CQ3" s="210"/>
      <c r="CR3" s="210"/>
      <c r="CS3" s="210"/>
      <c r="CT3" s="210"/>
      <c r="CU3" s="210"/>
      <c r="CV3" s="210"/>
      <c r="CW3" s="210"/>
      <c r="CX3" s="210"/>
      <c r="CY3" s="210"/>
      <c r="CZ3" s="210"/>
      <c r="DA3" s="210"/>
    </row>
    <row r="4" spans="1:105" x14ac:dyDescent="0.3">
      <c r="A4" s="210"/>
      <c r="B4" s="210"/>
      <c r="C4" s="210" t="s">
        <v>759</v>
      </c>
      <c r="D4" s="210" t="s">
        <v>1310</v>
      </c>
      <c r="E4" s="210" t="s">
        <v>1311</v>
      </c>
      <c r="F4" s="210" t="s">
        <v>1312</v>
      </c>
      <c r="G4" s="210" t="s">
        <v>1313</v>
      </c>
      <c r="H4" s="210" t="s">
        <v>3</v>
      </c>
      <c r="I4" s="210" t="s">
        <v>1314</v>
      </c>
      <c r="J4" s="210" t="s">
        <v>3</v>
      </c>
      <c r="K4" s="210" t="s">
        <v>1315</v>
      </c>
      <c r="L4" s="210" t="s">
        <v>3</v>
      </c>
      <c r="M4" s="210" t="s">
        <v>1316</v>
      </c>
      <c r="N4" s="210" t="s">
        <v>3</v>
      </c>
      <c r="O4" s="210" t="s">
        <v>1317</v>
      </c>
      <c r="P4" s="210" t="s">
        <v>3</v>
      </c>
      <c r="Q4" s="210" t="s">
        <v>1318</v>
      </c>
      <c r="R4" s="210" t="s">
        <v>3</v>
      </c>
      <c r="S4" s="210" t="s">
        <v>1319</v>
      </c>
      <c r="T4" s="210" t="s">
        <v>3</v>
      </c>
      <c r="U4" s="210" t="s">
        <v>1320</v>
      </c>
      <c r="V4" s="210" t="s">
        <v>3</v>
      </c>
      <c r="W4" s="210" t="s">
        <v>1321</v>
      </c>
      <c r="X4" s="234" t="s">
        <v>3</v>
      </c>
      <c r="Y4" s="210" t="s">
        <v>745</v>
      </c>
      <c r="Z4" s="210"/>
      <c r="AA4" s="210"/>
      <c r="AB4" s="210"/>
      <c r="AC4" s="210"/>
      <c r="AD4" s="210"/>
      <c r="AE4" s="210"/>
      <c r="AF4" s="210"/>
      <c r="AG4" s="210"/>
      <c r="AH4" s="210" t="s">
        <v>1322</v>
      </c>
      <c r="AI4" s="210"/>
      <c r="AJ4" s="210" t="s">
        <v>1323</v>
      </c>
      <c r="AK4" s="210"/>
      <c r="AL4" s="210" t="s">
        <v>1324</v>
      </c>
      <c r="AM4" s="210"/>
      <c r="AN4" s="210" t="s">
        <v>1325</v>
      </c>
      <c r="AO4" s="210"/>
      <c r="AP4" s="210" t="s">
        <v>1326</v>
      </c>
      <c r="AQ4" s="210"/>
      <c r="AR4" s="210"/>
      <c r="AS4" s="210"/>
      <c r="AT4" s="210" t="s">
        <v>1327</v>
      </c>
      <c r="AU4" s="210"/>
      <c r="AV4" s="210"/>
      <c r="AW4" s="210" t="s">
        <v>1328</v>
      </c>
      <c r="AX4" s="210"/>
      <c r="AY4" s="210"/>
      <c r="AZ4" s="210"/>
      <c r="BA4" s="210"/>
      <c r="BB4" s="210"/>
      <c r="BC4" s="210"/>
      <c r="BD4" s="210"/>
      <c r="BE4" s="210"/>
      <c r="BF4" s="210" t="s">
        <v>1329</v>
      </c>
      <c r="BG4" s="210"/>
      <c r="BH4" s="210"/>
      <c r="BI4" s="210"/>
      <c r="BJ4" s="210"/>
      <c r="BK4" s="210"/>
      <c r="BL4" s="210"/>
      <c r="BM4" s="210"/>
      <c r="BN4" s="210"/>
      <c r="BO4" s="210"/>
      <c r="BP4" s="210"/>
      <c r="BQ4" s="210"/>
      <c r="BR4" s="210"/>
      <c r="BS4" s="210"/>
      <c r="BT4" s="210" t="s">
        <v>1330</v>
      </c>
      <c r="BU4" s="210"/>
      <c r="BV4" s="210"/>
      <c r="BW4" s="210"/>
      <c r="BX4" s="210"/>
      <c r="BY4" s="210"/>
      <c r="BZ4" s="210"/>
      <c r="CA4" s="210"/>
      <c r="CB4" s="210"/>
      <c r="CC4" s="210" t="s">
        <v>1331</v>
      </c>
      <c r="CD4" s="210"/>
      <c r="CE4" s="210"/>
      <c r="CF4" s="210" t="s">
        <v>1332</v>
      </c>
      <c r="CG4" s="210"/>
      <c r="CH4" s="210"/>
      <c r="CI4" s="210" t="s">
        <v>1333</v>
      </c>
      <c r="CJ4" s="210"/>
      <c r="CK4" s="210"/>
      <c r="CL4" s="210" t="s">
        <v>1334</v>
      </c>
      <c r="CM4" s="210" t="s">
        <v>1335</v>
      </c>
      <c r="CN4" s="210"/>
      <c r="CO4" s="210"/>
      <c r="CP4" s="210"/>
      <c r="CQ4" s="210"/>
      <c r="CR4" s="210"/>
      <c r="CS4" s="210"/>
      <c r="CT4" s="210"/>
      <c r="CU4" s="210"/>
      <c r="CV4" s="210"/>
      <c r="CW4" s="210"/>
      <c r="CX4" s="210"/>
      <c r="CY4" s="210" t="s">
        <v>1336</v>
      </c>
      <c r="CZ4" s="210"/>
      <c r="DA4" s="210"/>
    </row>
    <row r="5" spans="1:105" ht="67.95" customHeight="1" x14ac:dyDescent="0.3">
      <c r="A5" s="210"/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34"/>
      <c r="Y5" s="144" t="s">
        <v>1337</v>
      </c>
      <c r="Z5" s="144" t="s">
        <v>3</v>
      </c>
      <c r="AA5" s="144" t="s">
        <v>1338</v>
      </c>
      <c r="AB5" s="147" t="s">
        <v>1339</v>
      </c>
      <c r="AC5" s="147" t="s">
        <v>3</v>
      </c>
      <c r="AD5" s="144" t="s">
        <v>1340</v>
      </c>
      <c r="AE5" s="144" t="s">
        <v>1341</v>
      </c>
      <c r="AF5" s="144" t="s">
        <v>1342</v>
      </c>
      <c r="AG5" s="144" t="s">
        <v>1343</v>
      </c>
      <c r="AH5" s="102" t="s">
        <v>1344</v>
      </c>
      <c r="AI5" s="102" t="s">
        <v>3</v>
      </c>
      <c r="AJ5" s="120" t="s">
        <v>1345</v>
      </c>
      <c r="AK5" s="120" t="s">
        <v>3</v>
      </c>
      <c r="AL5" s="120" t="s">
        <v>1346</v>
      </c>
      <c r="AM5" s="120" t="s">
        <v>3</v>
      </c>
      <c r="AN5" s="120" t="s">
        <v>1347</v>
      </c>
      <c r="AO5" s="120" t="s">
        <v>3</v>
      </c>
      <c r="AP5" s="144" t="s">
        <v>1348</v>
      </c>
      <c r="AQ5" s="144" t="s">
        <v>1349</v>
      </c>
      <c r="AR5" s="144" t="s">
        <v>1350</v>
      </c>
      <c r="AS5" s="144" t="s">
        <v>3</v>
      </c>
      <c r="AT5" s="147" t="s">
        <v>1351</v>
      </c>
      <c r="AU5" s="147" t="s">
        <v>1352</v>
      </c>
      <c r="AV5" s="147" t="s">
        <v>3</v>
      </c>
      <c r="AW5" s="144" t="s">
        <v>1353</v>
      </c>
      <c r="AX5" s="144" t="s">
        <v>1354</v>
      </c>
      <c r="AY5" s="144" t="s">
        <v>3</v>
      </c>
      <c r="AZ5" s="144" t="s">
        <v>1355</v>
      </c>
      <c r="BA5" s="144" t="s">
        <v>3</v>
      </c>
      <c r="BB5" s="144" t="s">
        <v>1356</v>
      </c>
      <c r="BC5" s="144" t="s">
        <v>3</v>
      </c>
      <c r="BD5" s="147" t="s">
        <v>1357</v>
      </c>
      <c r="BE5" s="147" t="s">
        <v>3</v>
      </c>
      <c r="BF5" s="144" t="s">
        <v>1358</v>
      </c>
      <c r="BG5" s="144" t="s">
        <v>1359</v>
      </c>
      <c r="BH5" s="144" t="s">
        <v>3</v>
      </c>
      <c r="BI5" s="144" t="s">
        <v>1360</v>
      </c>
      <c r="BJ5" s="144" t="s">
        <v>1361</v>
      </c>
      <c r="BK5" s="144" t="s">
        <v>1362</v>
      </c>
      <c r="BL5" s="144" t="s">
        <v>1363</v>
      </c>
      <c r="BM5" s="144" t="s">
        <v>3</v>
      </c>
      <c r="BN5" s="144" t="s">
        <v>1364</v>
      </c>
      <c r="BO5" s="144" t="s">
        <v>1365</v>
      </c>
      <c r="BP5" s="144" t="s">
        <v>1366</v>
      </c>
      <c r="BQ5" s="144" t="s">
        <v>1367</v>
      </c>
      <c r="BR5" s="144" t="s">
        <v>1368</v>
      </c>
      <c r="BS5" s="144" t="s">
        <v>3</v>
      </c>
      <c r="BT5" s="144" t="s">
        <v>1369</v>
      </c>
      <c r="BU5" s="144" t="s">
        <v>1370</v>
      </c>
      <c r="BV5" s="144" t="s">
        <v>3</v>
      </c>
      <c r="BW5" s="144" t="s">
        <v>1371</v>
      </c>
      <c r="BX5" s="144" t="s">
        <v>1372</v>
      </c>
      <c r="BY5" s="144" t="s">
        <v>3</v>
      </c>
      <c r="BZ5" s="144" t="s">
        <v>1373</v>
      </c>
      <c r="CA5" s="144" t="s">
        <v>1374</v>
      </c>
      <c r="CB5" s="144" t="s">
        <v>3</v>
      </c>
      <c r="CC5" s="144" t="s">
        <v>1375</v>
      </c>
      <c r="CD5" s="144" t="s">
        <v>1376</v>
      </c>
      <c r="CE5" s="144" t="s">
        <v>3</v>
      </c>
      <c r="CF5" s="144" t="s">
        <v>1377</v>
      </c>
      <c r="CG5" s="144" t="s">
        <v>1378</v>
      </c>
      <c r="CH5" s="144" t="s">
        <v>3</v>
      </c>
      <c r="CI5" s="144" t="s">
        <v>1379</v>
      </c>
      <c r="CJ5" s="144" t="s">
        <v>1380</v>
      </c>
      <c r="CK5" s="144" t="s">
        <v>3</v>
      </c>
      <c r="CL5" s="210"/>
      <c r="CM5" s="144" t="s">
        <v>1381</v>
      </c>
      <c r="CN5" s="144" t="s">
        <v>1382</v>
      </c>
      <c r="CO5" s="144" t="s">
        <v>3</v>
      </c>
      <c r="CP5" s="144" t="s">
        <v>1383</v>
      </c>
      <c r="CQ5" s="144" t="s">
        <v>1384</v>
      </c>
      <c r="CR5" s="144" t="s">
        <v>3</v>
      </c>
      <c r="CS5" s="144" t="s">
        <v>1385</v>
      </c>
      <c r="CT5" s="144" t="s">
        <v>1386</v>
      </c>
      <c r="CU5" s="144" t="s">
        <v>3</v>
      </c>
      <c r="CV5" s="144" t="s">
        <v>1387</v>
      </c>
      <c r="CW5" s="147" t="s">
        <v>1388</v>
      </c>
      <c r="CX5" s="147" t="s">
        <v>3</v>
      </c>
      <c r="CY5" s="120" t="s">
        <v>1389</v>
      </c>
      <c r="CZ5" s="120" t="s">
        <v>1390</v>
      </c>
      <c r="DA5" s="120" t="s">
        <v>3</v>
      </c>
    </row>
    <row r="6" spans="1:105" x14ac:dyDescent="0.3">
      <c r="A6" s="210"/>
      <c r="B6" s="210"/>
      <c r="C6" s="144" t="s">
        <v>235</v>
      </c>
      <c r="D6" s="144" t="s">
        <v>236</v>
      </c>
      <c r="E6" s="144" t="s">
        <v>237</v>
      </c>
      <c r="F6" s="144" t="s">
        <v>238</v>
      </c>
      <c r="G6" s="144" t="s">
        <v>239</v>
      </c>
      <c r="H6" s="144" t="s">
        <v>240</v>
      </c>
      <c r="I6" s="144" t="s">
        <v>241</v>
      </c>
      <c r="J6" s="144" t="s">
        <v>242</v>
      </c>
      <c r="K6" s="144" t="s">
        <v>243</v>
      </c>
      <c r="L6" s="144" t="s">
        <v>244</v>
      </c>
      <c r="M6" s="144" t="s">
        <v>245</v>
      </c>
      <c r="N6" s="144" t="s">
        <v>246</v>
      </c>
      <c r="O6" s="144" t="s">
        <v>247</v>
      </c>
      <c r="P6" s="144" t="s">
        <v>248</v>
      </c>
      <c r="Q6" s="144" t="s">
        <v>249</v>
      </c>
      <c r="R6" s="144" t="s">
        <v>250</v>
      </c>
      <c r="S6" s="144" t="s">
        <v>251</v>
      </c>
      <c r="T6" s="144" t="s">
        <v>252</v>
      </c>
      <c r="U6" s="144" t="s">
        <v>253</v>
      </c>
      <c r="V6" s="144" t="s">
        <v>254</v>
      </c>
      <c r="W6" s="144" t="s">
        <v>255</v>
      </c>
      <c r="X6" s="144" t="s">
        <v>256</v>
      </c>
      <c r="Y6" s="144" t="s">
        <v>257</v>
      </c>
      <c r="Z6" s="144" t="s">
        <v>258</v>
      </c>
      <c r="AA6" s="144" t="s">
        <v>259</v>
      </c>
      <c r="AB6" s="147" t="s">
        <v>260</v>
      </c>
      <c r="AC6" s="147"/>
      <c r="AD6" s="144" t="s">
        <v>261</v>
      </c>
      <c r="AE6" s="144" t="s">
        <v>262</v>
      </c>
      <c r="AF6" s="144" t="s">
        <v>263</v>
      </c>
      <c r="AG6" s="144" t="s">
        <v>264</v>
      </c>
      <c r="AH6" s="102" t="s">
        <v>265</v>
      </c>
      <c r="AI6" s="102" t="s">
        <v>266</v>
      </c>
      <c r="AJ6" s="120" t="s">
        <v>267</v>
      </c>
      <c r="AK6" s="120" t="s">
        <v>268</v>
      </c>
      <c r="AL6" s="120" t="s">
        <v>269</v>
      </c>
      <c r="AM6" s="120" t="s">
        <v>270</v>
      </c>
      <c r="AN6" s="120" t="s">
        <v>271</v>
      </c>
      <c r="AO6" s="120" t="s">
        <v>272</v>
      </c>
      <c r="AP6" s="144" t="s">
        <v>564</v>
      </c>
      <c r="AQ6" s="144" t="s">
        <v>565</v>
      </c>
      <c r="AR6" s="144" t="s">
        <v>566</v>
      </c>
      <c r="AS6" s="144" t="s">
        <v>567</v>
      </c>
      <c r="AT6" s="147" t="s">
        <v>799</v>
      </c>
      <c r="AU6" s="147" t="s">
        <v>800</v>
      </c>
      <c r="AV6" s="147" t="s">
        <v>801</v>
      </c>
      <c r="AW6" s="144" t="s">
        <v>802</v>
      </c>
      <c r="AX6" s="144" t="s">
        <v>803</v>
      </c>
      <c r="AY6" s="144" t="s">
        <v>804</v>
      </c>
      <c r="AZ6" s="144" t="s">
        <v>805</v>
      </c>
      <c r="BA6" s="144" t="s">
        <v>806</v>
      </c>
      <c r="BB6" s="144" t="s">
        <v>807</v>
      </c>
      <c r="BC6" s="144" t="s">
        <v>808</v>
      </c>
      <c r="BD6" s="147" t="s">
        <v>809</v>
      </c>
      <c r="BE6" s="147" t="s">
        <v>810</v>
      </c>
      <c r="BF6" s="144" t="s">
        <v>811</v>
      </c>
      <c r="BG6" s="144" t="s">
        <v>812</v>
      </c>
      <c r="BH6" s="144" t="s">
        <v>813</v>
      </c>
      <c r="BI6" s="144" t="s">
        <v>814</v>
      </c>
      <c r="BJ6" s="144" t="s">
        <v>815</v>
      </c>
      <c r="BK6" s="144" t="s">
        <v>816</v>
      </c>
      <c r="BL6" s="144" t="s">
        <v>817</v>
      </c>
      <c r="BM6" s="144" t="s">
        <v>818</v>
      </c>
      <c r="BN6" s="144" t="s">
        <v>819</v>
      </c>
      <c r="BO6" s="144" t="s">
        <v>820</v>
      </c>
      <c r="BP6" s="144" t="s">
        <v>1391</v>
      </c>
      <c r="BQ6" s="144" t="s">
        <v>1392</v>
      </c>
      <c r="BR6" s="144" t="s">
        <v>1393</v>
      </c>
      <c r="BS6" s="144" t="s">
        <v>1394</v>
      </c>
      <c r="BT6" s="144" t="s">
        <v>1395</v>
      </c>
      <c r="BU6" s="144" t="s">
        <v>1396</v>
      </c>
      <c r="BV6" s="144" t="s">
        <v>1397</v>
      </c>
      <c r="BW6" s="144" t="s">
        <v>1398</v>
      </c>
      <c r="BX6" s="144" t="s">
        <v>1399</v>
      </c>
      <c r="BY6" s="144" t="s">
        <v>1400</v>
      </c>
      <c r="BZ6" s="144" t="s">
        <v>1401</v>
      </c>
      <c r="CA6" s="144" t="s">
        <v>1402</v>
      </c>
      <c r="CB6" s="144" t="s">
        <v>1403</v>
      </c>
      <c r="CC6" s="144" t="s">
        <v>1404</v>
      </c>
      <c r="CD6" s="144" t="s">
        <v>1405</v>
      </c>
      <c r="CE6" s="144" t="s">
        <v>1406</v>
      </c>
      <c r="CF6" s="144" t="s">
        <v>1407</v>
      </c>
      <c r="CG6" s="144" t="s">
        <v>1408</v>
      </c>
      <c r="CH6" s="144" t="s">
        <v>1409</v>
      </c>
      <c r="CI6" s="144" t="s">
        <v>1410</v>
      </c>
      <c r="CJ6" s="144" t="s">
        <v>1411</v>
      </c>
      <c r="CK6" s="144" t="s">
        <v>1412</v>
      </c>
      <c r="CL6" s="144" t="s">
        <v>1413</v>
      </c>
      <c r="CM6" s="144" t="s">
        <v>1414</v>
      </c>
      <c r="CN6" s="144" t="s">
        <v>1415</v>
      </c>
      <c r="CO6" s="144" t="s">
        <v>1416</v>
      </c>
      <c r="CP6" s="144" t="s">
        <v>1417</v>
      </c>
      <c r="CQ6" s="144" t="s">
        <v>1418</v>
      </c>
      <c r="CR6" s="144" t="s">
        <v>1419</v>
      </c>
      <c r="CS6" s="144" t="s">
        <v>1420</v>
      </c>
      <c r="CT6" s="144" t="s">
        <v>1421</v>
      </c>
      <c r="CU6" s="144" t="s">
        <v>1422</v>
      </c>
      <c r="CV6" s="144" t="s">
        <v>1423</v>
      </c>
      <c r="CW6" s="147" t="s">
        <v>1424</v>
      </c>
      <c r="CX6" s="147" t="s">
        <v>1425</v>
      </c>
      <c r="CY6" s="120" t="s">
        <v>1426</v>
      </c>
      <c r="CZ6" s="120" t="s">
        <v>1427</v>
      </c>
      <c r="DA6" s="120" t="s">
        <v>1428</v>
      </c>
    </row>
    <row r="7" spans="1:105" x14ac:dyDescent="0.3">
      <c r="A7" s="104">
        <v>1</v>
      </c>
      <c r="B7" s="145" t="s">
        <v>273</v>
      </c>
      <c r="C7" s="145">
        <v>157278</v>
      </c>
      <c r="D7" s="145">
        <v>28424</v>
      </c>
      <c r="E7" s="145">
        <v>52222</v>
      </c>
      <c r="F7" s="145">
        <v>80633</v>
      </c>
      <c r="G7" s="145">
        <v>27636</v>
      </c>
      <c r="H7" s="145" t="s">
        <v>1429</v>
      </c>
      <c r="I7" s="145">
        <v>51360</v>
      </c>
      <c r="J7" s="145" t="s">
        <v>1430</v>
      </c>
      <c r="K7" s="145">
        <v>78983</v>
      </c>
      <c r="L7" s="145">
        <v>97.95</v>
      </c>
      <c r="M7" s="145">
        <v>27574</v>
      </c>
      <c r="N7" s="145" t="s">
        <v>1431</v>
      </c>
      <c r="O7" s="145">
        <v>51259</v>
      </c>
      <c r="P7" s="145" t="s">
        <v>543</v>
      </c>
      <c r="Q7" s="145">
        <v>78824</v>
      </c>
      <c r="R7" s="145" t="s">
        <v>417</v>
      </c>
      <c r="S7" s="145">
        <v>27569</v>
      </c>
      <c r="T7" s="145" t="s">
        <v>1432</v>
      </c>
      <c r="U7" s="145">
        <v>51276</v>
      </c>
      <c r="V7" s="145" t="s">
        <v>1433</v>
      </c>
      <c r="W7" s="149">
        <v>78836</v>
      </c>
      <c r="X7" s="145">
        <v>97.77</v>
      </c>
      <c r="Y7" s="145">
        <v>79363</v>
      </c>
      <c r="Z7" s="145" t="s">
        <v>408</v>
      </c>
      <c r="AA7" s="145">
        <v>42681</v>
      </c>
      <c r="AB7" s="148">
        <v>33778</v>
      </c>
      <c r="AC7" s="99">
        <f>AB7/W7*100</f>
        <v>42.845907960830075</v>
      </c>
      <c r="AD7" s="145">
        <v>1527</v>
      </c>
      <c r="AE7" s="145">
        <v>818</v>
      </c>
      <c r="AF7" s="145">
        <v>76447</v>
      </c>
      <c r="AG7" s="145" t="s">
        <v>1434</v>
      </c>
      <c r="AH7" s="134">
        <v>4027</v>
      </c>
      <c r="AI7" s="108">
        <v>5.1100000000000003</v>
      </c>
      <c r="AJ7" s="95">
        <v>3380</v>
      </c>
      <c r="AK7" s="95">
        <v>4.29</v>
      </c>
      <c r="AL7" s="95">
        <v>3265</v>
      </c>
      <c r="AM7" s="95">
        <v>4.1399999999999997</v>
      </c>
      <c r="AN7" s="95">
        <v>6263</v>
      </c>
      <c r="AO7" s="95">
        <v>7.93</v>
      </c>
      <c r="AP7" s="145">
        <v>16859</v>
      </c>
      <c r="AQ7" s="145">
        <v>9376</v>
      </c>
      <c r="AR7" s="145">
        <v>8479</v>
      </c>
      <c r="AS7" s="145">
        <v>90.43</v>
      </c>
      <c r="AT7" s="148">
        <v>9860</v>
      </c>
      <c r="AU7" s="148">
        <v>5418</v>
      </c>
      <c r="AV7" s="148">
        <v>54.95</v>
      </c>
      <c r="AW7" s="145">
        <v>10153</v>
      </c>
      <c r="AX7" s="145">
        <v>8683</v>
      </c>
      <c r="AY7" s="145" t="s">
        <v>1050</v>
      </c>
      <c r="AZ7" s="145">
        <v>8334</v>
      </c>
      <c r="BA7" s="145">
        <v>95.98</v>
      </c>
      <c r="BB7" s="145">
        <v>8614</v>
      </c>
      <c r="BC7" s="145" t="s">
        <v>1435</v>
      </c>
      <c r="BD7" s="148">
        <v>8317</v>
      </c>
      <c r="BE7" s="148">
        <v>95.78</v>
      </c>
      <c r="BF7" s="145">
        <v>9143</v>
      </c>
      <c r="BG7" s="145">
        <v>8769</v>
      </c>
      <c r="BH7" s="145" t="s">
        <v>1436</v>
      </c>
      <c r="BI7" s="145">
        <v>85146</v>
      </c>
      <c r="BJ7" s="145">
        <v>82942</v>
      </c>
      <c r="BK7" s="145">
        <v>12774</v>
      </c>
      <c r="BL7" s="145">
        <v>12453</v>
      </c>
      <c r="BM7" s="145" t="s">
        <v>396</v>
      </c>
      <c r="BN7" s="145">
        <v>8842</v>
      </c>
      <c r="BO7" s="145">
        <v>8576</v>
      </c>
      <c r="BP7" s="145">
        <v>82126</v>
      </c>
      <c r="BQ7" s="145">
        <v>80435</v>
      </c>
      <c r="BR7" s="145">
        <v>74823</v>
      </c>
      <c r="BS7" s="145" t="s">
        <v>1437</v>
      </c>
      <c r="BT7" s="145">
        <v>17985</v>
      </c>
      <c r="BU7" s="145">
        <v>17345</v>
      </c>
      <c r="BV7" s="145" t="s">
        <v>1438</v>
      </c>
      <c r="BW7" s="145">
        <v>94900</v>
      </c>
      <c r="BX7" s="145">
        <v>87276</v>
      </c>
      <c r="BY7" s="145" t="s">
        <v>1439</v>
      </c>
      <c r="BZ7" s="145">
        <v>112885</v>
      </c>
      <c r="CA7" s="145">
        <v>104621</v>
      </c>
      <c r="CB7" s="145" t="s">
        <v>1440</v>
      </c>
      <c r="CC7" s="95">
        <v>15736</v>
      </c>
      <c r="CD7" s="95">
        <v>1508</v>
      </c>
      <c r="CE7" s="95">
        <v>9.58</v>
      </c>
      <c r="CF7" s="95">
        <v>19079</v>
      </c>
      <c r="CG7" s="95">
        <v>1419</v>
      </c>
      <c r="CH7" s="95">
        <v>7.44</v>
      </c>
      <c r="CI7" s="95">
        <v>115951</v>
      </c>
      <c r="CJ7" s="95">
        <v>2051</v>
      </c>
      <c r="CK7" s="95">
        <v>1.77</v>
      </c>
      <c r="CL7" s="145" t="s">
        <v>1441</v>
      </c>
      <c r="CM7" s="145">
        <v>38</v>
      </c>
      <c r="CN7" s="145">
        <v>9</v>
      </c>
      <c r="CO7" s="145" t="s">
        <v>1442</v>
      </c>
      <c r="CP7" s="145">
        <v>159</v>
      </c>
      <c r="CQ7" s="145">
        <v>44</v>
      </c>
      <c r="CR7" s="145" t="s">
        <v>1443</v>
      </c>
      <c r="CS7" s="145">
        <v>217</v>
      </c>
      <c r="CT7" s="145">
        <v>52</v>
      </c>
      <c r="CU7" s="145" t="s">
        <v>1444</v>
      </c>
      <c r="CV7" s="145">
        <v>376</v>
      </c>
      <c r="CW7" s="148">
        <v>96</v>
      </c>
      <c r="CX7" s="148">
        <v>25.53</v>
      </c>
      <c r="CY7" s="109">
        <v>9453</v>
      </c>
      <c r="CZ7" s="95">
        <v>272</v>
      </c>
      <c r="DA7" s="95">
        <v>2.88</v>
      </c>
    </row>
    <row r="8" spans="1:105" x14ac:dyDescent="0.3">
      <c r="A8" s="104">
        <v>2</v>
      </c>
      <c r="B8" s="145" t="s">
        <v>275</v>
      </c>
      <c r="C8" s="145">
        <v>118980</v>
      </c>
      <c r="D8" s="145">
        <v>25269</v>
      </c>
      <c r="E8" s="145">
        <v>45693</v>
      </c>
      <c r="F8" s="145">
        <v>70967</v>
      </c>
      <c r="G8" s="145">
        <v>25043</v>
      </c>
      <c r="H8" s="145" t="s">
        <v>1445</v>
      </c>
      <c r="I8" s="145">
        <v>45618</v>
      </c>
      <c r="J8" s="145" t="s">
        <v>1446</v>
      </c>
      <c r="K8" s="145">
        <v>70665</v>
      </c>
      <c r="L8" s="145">
        <v>99.57</v>
      </c>
      <c r="M8" s="145">
        <v>25038</v>
      </c>
      <c r="N8" s="145" t="s">
        <v>1447</v>
      </c>
      <c r="O8" s="145">
        <v>45594</v>
      </c>
      <c r="P8" s="145" t="s">
        <v>1448</v>
      </c>
      <c r="Q8" s="145">
        <v>70638</v>
      </c>
      <c r="R8" s="145" t="s">
        <v>1144</v>
      </c>
      <c r="S8" s="145">
        <v>25002</v>
      </c>
      <c r="T8" s="145" t="s">
        <v>915</v>
      </c>
      <c r="U8" s="145">
        <v>45609</v>
      </c>
      <c r="V8" s="145" t="s">
        <v>424</v>
      </c>
      <c r="W8" s="149">
        <v>70618</v>
      </c>
      <c r="X8" s="145">
        <v>99.51</v>
      </c>
      <c r="Y8" s="145">
        <v>70630</v>
      </c>
      <c r="Z8" s="145" t="s">
        <v>841</v>
      </c>
      <c r="AA8" s="145">
        <v>35855</v>
      </c>
      <c r="AB8" s="148">
        <v>33490</v>
      </c>
      <c r="AC8" s="99">
        <f t="shared" ref="AC8:AC42" si="0">AB8/W8*100</f>
        <v>47.424169475204621</v>
      </c>
      <c r="AD8" s="145">
        <v>402</v>
      </c>
      <c r="AE8" s="145">
        <v>889</v>
      </c>
      <c r="AF8" s="145">
        <v>69339</v>
      </c>
      <c r="AG8" s="145" t="s">
        <v>1449</v>
      </c>
      <c r="AH8" s="134">
        <v>9044</v>
      </c>
      <c r="AI8" s="108">
        <v>12.81</v>
      </c>
      <c r="AJ8" s="95">
        <v>3383</v>
      </c>
      <c r="AK8" s="95">
        <v>4.79</v>
      </c>
      <c r="AL8" s="95">
        <v>2584</v>
      </c>
      <c r="AM8" s="95">
        <v>3.66</v>
      </c>
      <c r="AN8" s="95">
        <v>8131</v>
      </c>
      <c r="AO8" s="95">
        <v>11.51</v>
      </c>
      <c r="AP8" s="145">
        <v>15523</v>
      </c>
      <c r="AQ8" s="145">
        <v>11957</v>
      </c>
      <c r="AR8" s="145">
        <v>10536</v>
      </c>
      <c r="AS8" s="145">
        <v>88.12</v>
      </c>
      <c r="AT8" s="148">
        <v>8761</v>
      </c>
      <c r="AU8" s="148">
        <v>6505</v>
      </c>
      <c r="AV8" s="148">
        <v>74.25</v>
      </c>
      <c r="AW8" s="145">
        <v>9374</v>
      </c>
      <c r="AX8" s="145">
        <v>8896</v>
      </c>
      <c r="AY8" s="145" t="s">
        <v>1450</v>
      </c>
      <c r="AZ8" s="145">
        <v>8743</v>
      </c>
      <c r="BA8" s="145">
        <v>98.28</v>
      </c>
      <c r="BB8" s="145">
        <v>8803</v>
      </c>
      <c r="BC8" s="145" t="s">
        <v>1451</v>
      </c>
      <c r="BD8" s="148">
        <v>8700</v>
      </c>
      <c r="BE8" s="148">
        <v>97.8</v>
      </c>
      <c r="BF8" s="145">
        <v>8080</v>
      </c>
      <c r="BG8" s="145">
        <v>8071</v>
      </c>
      <c r="BH8" s="145" t="s">
        <v>1452</v>
      </c>
      <c r="BI8" s="145">
        <v>73955</v>
      </c>
      <c r="BJ8" s="145">
        <v>73844</v>
      </c>
      <c r="BK8" s="145">
        <v>11020</v>
      </c>
      <c r="BL8" s="145">
        <v>11013</v>
      </c>
      <c r="BM8" s="145" t="s">
        <v>390</v>
      </c>
      <c r="BN8" s="145">
        <v>7464</v>
      </c>
      <c r="BO8" s="145">
        <v>7380</v>
      </c>
      <c r="BP8" s="145">
        <v>70658</v>
      </c>
      <c r="BQ8" s="145">
        <v>70333</v>
      </c>
      <c r="BR8" s="145">
        <v>69749</v>
      </c>
      <c r="BS8" s="145" t="s">
        <v>1144</v>
      </c>
      <c r="BT8" s="145">
        <v>15544</v>
      </c>
      <c r="BU8" s="145">
        <v>15451</v>
      </c>
      <c r="BV8" s="145" t="s">
        <v>1453</v>
      </c>
      <c r="BW8" s="145">
        <v>81678</v>
      </c>
      <c r="BX8" s="145">
        <v>80762</v>
      </c>
      <c r="BY8" s="145" t="s">
        <v>409</v>
      </c>
      <c r="BZ8" s="145">
        <v>97222</v>
      </c>
      <c r="CA8" s="145">
        <v>96213</v>
      </c>
      <c r="CB8" s="145" t="s">
        <v>1454</v>
      </c>
      <c r="CC8" s="95">
        <v>24614</v>
      </c>
      <c r="CD8" s="95">
        <v>1781</v>
      </c>
      <c r="CE8" s="95">
        <v>7.24</v>
      </c>
      <c r="CF8" s="95">
        <v>42169</v>
      </c>
      <c r="CG8" s="95">
        <v>1314</v>
      </c>
      <c r="CH8" s="95">
        <v>3.12</v>
      </c>
      <c r="CI8" s="95">
        <v>193142</v>
      </c>
      <c r="CJ8" s="95">
        <v>4675</v>
      </c>
      <c r="CK8" s="95">
        <v>2.42</v>
      </c>
      <c r="CL8" s="145" t="s">
        <v>1441</v>
      </c>
      <c r="CM8" s="145">
        <v>67</v>
      </c>
      <c r="CN8" s="145">
        <v>45</v>
      </c>
      <c r="CO8" s="145" t="s">
        <v>660</v>
      </c>
      <c r="CP8" s="145">
        <v>321</v>
      </c>
      <c r="CQ8" s="145">
        <v>210</v>
      </c>
      <c r="CR8" s="145" t="s">
        <v>1455</v>
      </c>
      <c r="CS8" s="145">
        <v>478</v>
      </c>
      <c r="CT8" s="145">
        <v>300</v>
      </c>
      <c r="CU8" s="145" t="s">
        <v>1456</v>
      </c>
      <c r="CV8" s="145">
        <v>799</v>
      </c>
      <c r="CW8" s="148">
        <v>510</v>
      </c>
      <c r="CX8" s="148">
        <v>63.83</v>
      </c>
      <c r="CY8" s="109">
        <v>21699</v>
      </c>
      <c r="CZ8" s="95">
        <v>1104</v>
      </c>
      <c r="DA8" s="95">
        <v>5.09</v>
      </c>
    </row>
    <row r="9" spans="1:105" x14ac:dyDescent="0.3">
      <c r="A9" s="104">
        <v>3</v>
      </c>
      <c r="B9" s="145" t="s">
        <v>276</v>
      </c>
      <c r="C9" s="145">
        <v>82377</v>
      </c>
      <c r="D9" s="145">
        <v>16024</v>
      </c>
      <c r="E9" s="145">
        <v>28740</v>
      </c>
      <c r="F9" s="145">
        <v>44764</v>
      </c>
      <c r="G9" s="145">
        <v>15310</v>
      </c>
      <c r="H9" s="145" t="s">
        <v>1018</v>
      </c>
      <c r="I9" s="145">
        <v>27872</v>
      </c>
      <c r="J9" s="145" t="s">
        <v>1457</v>
      </c>
      <c r="K9" s="145">
        <v>43187</v>
      </c>
      <c r="L9" s="145">
        <v>96.48</v>
      </c>
      <c r="M9" s="145">
        <v>15317</v>
      </c>
      <c r="N9" s="145" t="s">
        <v>1458</v>
      </c>
      <c r="O9" s="145">
        <v>27869</v>
      </c>
      <c r="P9" s="145" t="s">
        <v>1459</v>
      </c>
      <c r="Q9" s="145">
        <v>43187</v>
      </c>
      <c r="R9" s="145" t="s">
        <v>1460</v>
      </c>
      <c r="S9" s="145">
        <v>15315</v>
      </c>
      <c r="T9" s="145" t="s">
        <v>1461</v>
      </c>
      <c r="U9" s="145">
        <v>27876</v>
      </c>
      <c r="V9" s="145" t="s">
        <v>1432</v>
      </c>
      <c r="W9" s="149">
        <v>43192</v>
      </c>
      <c r="X9" s="145">
        <v>96.49</v>
      </c>
      <c r="Y9" s="145">
        <v>44776</v>
      </c>
      <c r="Z9" s="146" t="s">
        <v>1462</v>
      </c>
      <c r="AA9" s="145">
        <v>21434</v>
      </c>
      <c r="AB9" s="148">
        <v>19741</v>
      </c>
      <c r="AC9" s="99">
        <f t="shared" si="0"/>
        <v>45.705223189479533</v>
      </c>
      <c r="AD9" s="145">
        <v>1515</v>
      </c>
      <c r="AE9" s="145">
        <v>542</v>
      </c>
      <c r="AF9" s="145">
        <v>41169</v>
      </c>
      <c r="AG9" s="145" t="s">
        <v>1463</v>
      </c>
      <c r="AH9" s="134">
        <v>6023</v>
      </c>
      <c r="AI9" s="108">
        <v>13.94</v>
      </c>
      <c r="AJ9" s="95">
        <v>1805</v>
      </c>
      <c r="AK9" s="95">
        <v>4.18</v>
      </c>
      <c r="AL9" s="95">
        <v>1541</v>
      </c>
      <c r="AM9" s="95">
        <v>3.57</v>
      </c>
      <c r="AN9" s="95">
        <v>4556</v>
      </c>
      <c r="AO9" s="95">
        <v>10.55</v>
      </c>
      <c r="AP9" s="145">
        <v>9460</v>
      </c>
      <c r="AQ9" s="145">
        <v>7647</v>
      </c>
      <c r="AR9" s="145">
        <v>6805</v>
      </c>
      <c r="AS9" s="145">
        <v>88.99</v>
      </c>
      <c r="AT9" s="148">
        <v>5602</v>
      </c>
      <c r="AU9" s="148">
        <v>3830</v>
      </c>
      <c r="AV9" s="148">
        <v>68.37</v>
      </c>
      <c r="AW9" s="145">
        <v>5670</v>
      </c>
      <c r="AX9" s="145">
        <v>4778</v>
      </c>
      <c r="AY9" s="145" t="s">
        <v>1464</v>
      </c>
      <c r="AZ9" s="145">
        <v>4293</v>
      </c>
      <c r="BA9" s="145">
        <v>89.85</v>
      </c>
      <c r="BB9" s="145">
        <v>4576</v>
      </c>
      <c r="BC9" s="145" t="s">
        <v>1283</v>
      </c>
      <c r="BD9" s="148">
        <v>4243</v>
      </c>
      <c r="BE9" s="148">
        <v>88.8</v>
      </c>
      <c r="BF9" s="145">
        <v>5219</v>
      </c>
      <c r="BG9" s="145">
        <v>5163</v>
      </c>
      <c r="BH9" s="145" t="s">
        <v>899</v>
      </c>
      <c r="BI9" s="145">
        <v>48072</v>
      </c>
      <c r="BJ9" s="145">
        <v>47941</v>
      </c>
      <c r="BK9" s="145">
        <v>7622</v>
      </c>
      <c r="BL9" s="145">
        <v>7605</v>
      </c>
      <c r="BM9" s="145" t="s">
        <v>1448</v>
      </c>
      <c r="BN9" s="145">
        <v>4892</v>
      </c>
      <c r="BO9" s="145">
        <v>4856</v>
      </c>
      <c r="BP9" s="145">
        <v>45407</v>
      </c>
      <c r="BQ9" s="145">
        <v>45384</v>
      </c>
      <c r="BR9" s="145">
        <v>44618</v>
      </c>
      <c r="BS9" s="145" t="s">
        <v>1465</v>
      </c>
      <c r="BT9" s="145">
        <v>10111</v>
      </c>
      <c r="BU9" s="145">
        <v>10019</v>
      </c>
      <c r="BV9" s="145" t="s">
        <v>1447</v>
      </c>
      <c r="BW9" s="145">
        <v>53029</v>
      </c>
      <c r="BX9" s="145">
        <v>52223</v>
      </c>
      <c r="BY9" s="145" t="s">
        <v>1466</v>
      </c>
      <c r="BZ9" s="145">
        <v>63140</v>
      </c>
      <c r="CA9" s="145">
        <v>62242</v>
      </c>
      <c r="CB9" s="145" t="s">
        <v>826</v>
      </c>
      <c r="CC9" s="95">
        <v>8472</v>
      </c>
      <c r="CD9" s="95">
        <v>856</v>
      </c>
      <c r="CE9" s="95">
        <v>10.1</v>
      </c>
      <c r="CF9" s="95">
        <v>17242</v>
      </c>
      <c r="CG9" s="95">
        <v>1101</v>
      </c>
      <c r="CH9" s="95">
        <v>6.39</v>
      </c>
      <c r="CI9" s="95">
        <v>77197</v>
      </c>
      <c r="CJ9" s="95">
        <v>2733</v>
      </c>
      <c r="CK9" s="95">
        <v>3.54</v>
      </c>
      <c r="CL9" s="145" t="s">
        <v>1441</v>
      </c>
      <c r="CM9" s="145">
        <v>31</v>
      </c>
      <c r="CN9" s="145">
        <v>2</v>
      </c>
      <c r="CO9" s="145" t="s">
        <v>1467</v>
      </c>
      <c r="CP9" s="145">
        <v>104</v>
      </c>
      <c r="CQ9" s="145">
        <v>32</v>
      </c>
      <c r="CR9" s="145" t="s">
        <v>1468</v>
      </c>
      <c r="CS9" s="145">
        <v>179</v>
      </c>
      <c r="CT9" s="145">
        <v>38</v>
      </c>
      <c r="CU9" s="145" t="s">
        <v>1469</v>
      </c>
      <c r="CV9" s="145">
        <v>283</v>
      </c>
      <c r="CW9" s="148">
        <v>70</v>
      </c>
      <c r="CX9" s="148">
        <v>24.73</v>
      </c>
      <c r="CY9" s="109">
        <v>10543</v>
      </c>
      <c r="CZ9" s="95">
        <v>319</v>
      </c>
      <c r="DA9" s="95">
        <v>3.03</v>
      </c>
    </row>
    <row r="10" spans="1:105" x14ac:dyDescent="0.3">
      <c r="A10" s="104">
        <v>4</v>
      </c>
      <c r="B10" s="145" t="s">
        <v>277</v>
      </c>
      <c r="C10" s="145">
        <v>70831</v>
      </c>
      <c r="D10" s="145">
        <v>15454</v>
      </c>
      <c r="E10" s="145">
        <v>29085</v>
      </c>
      <c r="F10" s="145">
        <v>44548</v>
      </c>
      <c r="G10" s="145">
        <v>14559</v>
      </c>
      <c r="H10" s="145" t="s">
        <v>1470</v>
      </c>
      <c r="I10" s="145">
        <v>27670</v>
      </c>
      <c r="J10" s="145" t="s">
        <v>1471</v>
      </c>
      <c r="K10" s="145">
        <v>42233</v>
      </c>
      <c r="L10" s="145">
        <v>94.8</v>
      </c>
      <c r="M10" s="145">
        <v>14551</v>
      </c>
      <c r="N10" s="145" t="s">
        <v>437</v>
      </c>
      <c r="O10" s="145">
        <v>27641</v>
      </c>
      <c r="P10" s="145" t="s">
        <v>926</v>
      </c>
      <c r="Q10" s="145">
        <v>42186</v>
      </c>
      <c r="R10" s="145" t="s">
        <v>382</v>
      </c>
      <c r="S10" s="145">
        <v>14554</v>
      </c>
      <c r="T10" s="145" t="s">
        <v>1472</v>
      </c>
      <c r="U10" s="145">
        <v>27662</v>
      </c>
      <c r="V10" s="145" t="s">
        <v>1473</v>
      </c>
      <c r="W10" s="149">
        <v>42215</v>
      </c>
      <c r="X10" s="145">
        <v>94.76</v>
      </c>
      <c r="Y10" s="145">
        <v>44386</v>
      </c>
      <c r="Z10" s="145" t="s">
        <v>1474</v>
      </c>
      <c r="AA10" s="145">
        <v>20386</v>
      </c>
      <c r="AB10" s="148">
        <v>19588</v>
      </c>
      <c r="AC10" s="99">
        <f t="shared" si="0"/>
        <v>46.400568518299181</v>
      </c>
      <c r="AD10" s="145">
        <v>1812</v>
      </c>
      <c r="AE10" s="145">
        <v>412</v>
      </c>
      <c r="AF10" s="145">
        <v>39970</v>
      </c>
      <c r="AG10" s="145">
        <v>51</v>
      </c>
      <c r="AH10" s="134">
        <v>6785</v>
      </c>
      <c r="AI10" s="108">
        <v>16.07</v>
      </c>
      <c r="AJ10" s="95">
        <v>1368</v>
      </c>
      <c r="AK10" s="95">
        <v>3.24</v>
      </c>
      <c r="AL10" s="95">
        <v>1672</v>
      </c>
      <c r="AM10" s="95">
        <v>3.96</v>
      </c>
      <c r="AN10" s="95">
        <v>4281</v>
      </c>
      <c r="AO10" s="95">
        <v>10.14</v>
      </c>
      <c r="AP10" s="145">
        <v>8314</v>
      </c>
      <c r="AQ10" s="145">
        <v>6419</v>
      </c>
      <c r="AR10" s="145">
        <v>5652</v>
      </c>
      <c r="AS10" s="145">
        <v>88.05</v>
      </c>
      <c r="AT10" s="148">
        <v>5325</v>
      </c>
      <c r="AU10" s="148">
        <v>3447</v>
      </c>
      <c r="AV10" s="148">
        <v>64.73</v>
      </c>
      <c r="AW10" s="145">
        <v>6978</v>
      </c>
      <c r="AX10" s="145">
        <v>5507</v>
      </c>
      <c r="AY10" s="145" t="s">
        <v>1475</v>
      </c>
      <c r="AZ10" s="145">
        <v>5119</v>
      </c>
      <c r="BA10" s="145">
        <v>92.95</v>
      </c>
      <c r="BB10" s="145">
        <v>5343</v>
      </c>
      <c r="BC10" s="145" t="s">
        <v>1476</v>
      </c>
      <c r="BD10" s="148">
        <v>5066</v>
      </c>
      <c r="BE10" s="148">
        <v>91.99</v>
      </c>
      <c r="BF10" s="145">
        <v>4674</v>
      </c>
      <c r="BG10" s="145">
        <v>4613</v>
      </c>
      <c r="BH10" s="145" t="s">
        <v>1477</v>
      </c>
      <c r="BI10" s="145">
        <v>46033</v>
      </c>
      <c r="BJ10" s="145">
        <v>45820</v>
      </c>
      <c r="BK10" s="145">
        <v>7043</v>
      </c>
      <c r="BL10" s="145">
        <v>7024</v>
      </c>
      <c r="BM10" s="145" t="s">
        <v>1478</v>
      </c>
      <c r="BN10" s="145">
        <v>4352</v>
      </c>
      <c r="BO10" s="145">
        <v>4308</v>
      </c>
      <c r="BP10" s="145">
        <v>43569</v>
      </c>
      <c r="BQ10" s="145">
        <v>43285</v>
      </c>
      <c r="BR10" s="145">
        <v>42497</v>
      </c>
      <c r="BS10" s="145" t="s">
        <v>1479</v>
      </c>
      <c r="BT10" s="145">
        <v>9026</v>
      </c>
      <c r="BU10" s="145">
        <v>8921</v>
      </c>
      <c r="BV10" s="145" t="s">
        <v>391</v>
      </c>
      <c r="BW10" s="145">
        <v>50612</v>
      </c>
      <c r="BX10" s="145">
        <v>49521</v>
      </c>
      <c r="BY10" s="145" t="s">
        <v>1480</v>
      </c>
      <c r="BZ10" s="145">
        <v>59638</v>
      </c>
      <c r="CA10" s="145">
        <v>58442</v>
      </c>
      <c r="CB10" s="145" t="s">
        <v>478</v>
      </c>
      <c r="CC10" s="95">
        <v>8372</v>
      </c>
      <c r="CD10" s="95">
        <v>865</v>
      </c>
      <c r="CE10" s="95">
        <v>10.33</v>
      </c>
      <c r="CF10" s="95">
        <v>22333</v>
      </c>
      <c r="CG10" s="95">
        <v>1334</v>
      </c>
      <c r="CH10" s="95">
        <v>5.97</v>
      </c>
      <c r="CI10" s="95">
        <v>99819</v>
      </c>
      <c r="CJ10" s="95">
        <v>4622</v>
      </c>
      <c r="CK10" s="95">
        <v>4.63</v>
      </c>
      <c r="CL10" s="145" t="s">
        <v>1441</v>
      </c>
      <c r="CM10" s="145">
        <v>44</v>
      </c>
      <c r="CN10" s="145">
        <v>8</v>
      </c>
      <c r="CO10" s="145" t="s">
        <v>1481</v>
      </c>
      <c r="CP10" s="145">
        <v>103</v>
      </c>
      <c r="CQ10" s="145">
        <v>47</v>
      </c>
      <c r="CR10" s="145" t="s">
        <v>1482</v>
      </c>
      <c r="CS10" s="145">
        <v>210</v>
      </c>
      <c r="CT10" s="145">
        <v>84</v>
      </c>
      <c r="CU10" s="145">
        <v>40</v>
      </c>
      <c r="CV10" s="145">
        <v>313</v>
      </c>
      <c r="CW10" s="148">
        <v>131</v>
      </c>
      <c r="CX10" s="148">
        <v>41.85</v>
      </c>
      <c r="CY10" s="109">
        <v>23056</v>
      </c>
      <c r="CZ10" s="95">
        <v>276</v>
      </c>
      <c r="DA10" s="95">
        <v>1.2</v>
      </c>
    </row>
    <row r="11" spans="1:105" x14ac:dyDescent="0.3">
      <c r="A11" s="104">
        <v>5</v>
      </c>
      <c r="B11" s="145" t="s">
        <v>279</v>
      </c>
      <c r="C11" s="145">
        <v>97552</v>
      </c>
      <c r="D11" s="145">
        <v>19021</v>
      </c>
      <c r="E11" s="145">
        <v>35854</v>
      </c>
      <c r="F11" s="145">
        <v>54881</v>
      </c>
      <c r="G11" s="145">
        <v>18558</v>
      </c>
      <c r="H11" s="145" t="s">
        <v>1483</v>
      </c>
      <c r="I11" s="145">
        <v>35344</v>
      </c>
      <c r="J11" s="145" t="s">
        <v>826</v>
      </c>
      <c r="K11" s="145">
        <v>53895</v>
      </c>
      <c r="L11" s="145">
        <v>98.2</v>
      </c>
      <c r="M11" s="145">
        <v>18552</v>
      </c>
      <c r="N11" s="145" t="s">
        <v>1484</v>
      </c>
      <c r="O11" s="145">
        <v>35360</v>
      </c>
      <c r="P11" s="145" t="s">
        <v>1485</v>
      </c>
      <c r="Q11" s="145">
        <v>53902</v>
      </c>
      <c r="R11" s="145" t="s">
        <v>536</v>
      </c>
      <c r="S11" s="145">
        <v>18546</v>
      </c>
      <c r="T11" s="145" t="s">
        <v>1486</v>
      </c>
      <c r="U11" s="145">
        <v>35375</v>
      </c>
      <c r="V11" s="145" t="s">
        <v>1487</v>
      </c>
      <c r="W11" s="149">
        <v>53913</v>
      </c>
      <c r="X11" s="145">
        <v>98.24</v>
      </c>
      <c r="Y11" s="145">
        <v>54657</v>
      </c>
      <c r="Z11" s="145" t="s">
        <v>886</v>
      </c>
      <c r="AA11" s="145">
        <v>27079</v>
      </c>
      <c r="AB11" s="148">
        <v>25304</v>
      </c>
      <c r="AC11" s="99">
        <f t="shared" si="0"/>
        <v>46.934876560384325</v>
      </c>
      <c r="AD11" s="145">
        <v>871</v>
      </c>
      <c r="AE11" s="145">
        <v>646</v>
      </c>
      <c r="AF11" s="145">
        <v>52375</v>
      </c>
      <c r="AG11" s="145" t="s">
        <v>1488</v>
      </c>
      <c r="AH11" s="134">
        <v>4208</v>
      </c>
      <c r="AI11" s="108">
        <v>7.81</v>
      </c>
      <c r="AJ11" s="95">
        <v>2487</v>
      </c>
      <c r="AK11" s="95">
        <v>4.6100000000000003</v>
      </c>
      <c r="AL11" s="95">
        <v>1603</v>
      </c>
      <c r="AM11" s="95">
        <v>2.97</v>
      </c>
      <c r="AN11" s="95">
        <v>6098</v>
      </c>
      <c r="AO11" s="95">
        <v>11.31</v>
      </c>
      <c r="AP11" s="145">
        <v>11176</v>
      </c>
      <c r="AQ11" s="145">
        <v>8645</v>
      </c>
      <c r="AR11" s="145">
        <v>7923</v>
      </c>
      <c r="AS11" s="145">
        <v>91.65</v>
      </c>
      <c r="AT11" s="148">
        <v>6448</v>
      </c>
      <c r="AU11" s="148">
        <v>4593</v>
      </c>
      <c r="AV11" s="148">
        <v>71.23</v>
      </c>
      <c r="AW11" s="145">
        <v>7110</v>
      </c>
      <c r="AX11" s="145">
        <v>6068</v>
      </c>
      <c r="AY11" s="145" t="s">
        <v>1489</v>
      </c>
      <c r="AZ11" s="145">
        <v>5719</v>
      </c>
      <c r="BA11" s="145">
        <v>94.25</v>
      </c>
      <c r="BB11" s="145">
        <v>5919</v>
      </c>
      <c r="BC11" s="145" t="s">
        <v>474</v>
      </c>
      <c r="BD11" s="148">
        <v>5672</v>
      </c>
      <c r="BE11" s="148">
        <v>93.47</v>
      </c>
      <c r="BF11" s="145">
        <v>5941</v>
      </c>
      <c r="BG11" s="145">
        <v>5842</v>
      </c>
      <c r="BH11" s="145" t="s">
        <v>389</v>
      </c>
      <c r="BI11" s="145">
        <v>58107</v>
      </c>
      <c r="BJ11" s="145">
        <v>57702</v>
      </c>
      <c r="BK11" s="145">
        <v>9417</v>
      </c>
      <c r="BL11" s="145">
        <v>9337</v>
      </c>
      <c r="BM11" s="145" t="s">
        <v>514</v>
      </c>
      <c r="BN11" s="145">
        <v>5753</v>
      </c>
      <c r="BO11" s="145">
        <v>5717</v>
      </c>
      <c r="BP11" s="145">
        <v>55171</v>
      </c>
      <c r="BQ11" s="145">
        <v>54900</v>
      </c>
      <c r="BR11" s="145">
        <v>53785</v>
      </c>
      <c r="BS11" s="145" t="s">
        <v>1490</v>
      </c>
      <c r="BT11" s="145">
        <v>11694</v>
      </c>
      <c r="BU11" s="145">
        <v>11559</v>
      </c>
      <c r="BV11" s="145" t="s">
        <v>1491</v>
      </c>
      <c r="BW11" s="145">
        <v>64588</v>
      </c>
      <c r="BX11" s="145">
        <v>63122</v>
      </c>
      <c r="BY11" s="145" t="s">
        <v>1492</v>
      </c>
      <c r="BZ11" s="145">
        <v>76282</v>
      </c>
      <c r="CA11" s="145">
        <v>74681</v>
      </c>
      <c r="CB11" s="145" t="s">
        <v>1493</v>
      </c>
      <c r="CC11" s="95">
        <v>10801</v>
      </c>
      <c r="CD11" s="95">
        <v>580</v>
      </c>
      <c r="CE11" s="95">
        <v>5.37</v>
      </c>
      <c r="CF11" s="95">
        <v>16691</v>
      </c>
      <c r="CG11" s="95">
        <v>1160</v>
      </c>
      <c r="CH11" s="95">
        <v>6.95</v>
      </c>
      <c r="CI11" s="95">
        <v>75553</v>
      </c>
      <c r="CJ11" s="95">
        <v>3968</v>
      </c>
      <c r="CK11" s="95">
        <v>5.25</v>
      </c>
      <c r="CL11" s="145" t="s">
        <v>1441</v>
      </c>
      <c r="CM11" s="145">
        <v>10</v>
      </c>
      <c r="CN11" s="145">
        <v>1</v>
      </c>
      <c r="CO11" s="145">
        <v>10</v>
      </c>
      <c r="CP11" s="145">
        <v>29</v>
      </c>
      <c r="CQ11" s="145">
        <v>4</v>
      </c>
      <c r="CR11" s="145" t="s">
        <v>1494</v>
      </c>
      <c r="CS11" s="145">
        <v>24</v>
      </c>
      <c r="CT11" s="145">
        <v>6</v>
      </c>
      <c r="CU11" s="145">
        <v>25</v>
      </c>
      <c r="CV11" s="145">
        <v>53</v>
      </c>
      <c r="CW11" s="148">
        <v>10</v>
      </c>
      <c r="CX11" s="148">
        <v>18.87</v>
      </c>
      <c r="CY11" s="109">
        <v>7644</v>
      </c>
      <c r="CZ11" s="95">
        <v>377</v>
      </c>
      <c r="DA11" s="95">
        <v>4.93</v>
      </c>
    </row>
    <row r="12" spans="1:105" x14ac:dyDescent="0.3">
      <c r="A12" s="104">
        <v>6</v>
      </c>
      <c r="B12" s="145" t="s">
        <v>280</v>
      </c>
      <c r="C12" s="145">
        <v>58232</v>
      </c>
      <c r="D12" s="145">
        <v>9553</v>
      </c>
      <c r="E12" s="145">
        <v>18286</v>
      </c>
      <c r="F12" s="145">
        <v>27842</v>
      </c>
      <c r="G12" s="145">
        <v>9321</v>
      </c>
      <c r="H12" s="145" t="s">
        <v>1483</v>
      </c>
      <c r="I12" s="145">
        <v>18077</v>
      </c>
      <c r="J12" s="145" t="s">
        <v>1495</v>
      </c>
      <c r="K12" s="145">
        <v>27383</v>
      </c>
      <c r="L12" s="145">
        <v>98.35</v>
      </c>
      <c r="M12" s="145">
        <v>9318</v>
      </c>
      <c r="N12" s="145" t="s">
        <v>474</v>
      </c>
      <c r="O12" s="145">
        <v>18059</v>
      </c>
      <c r="P12" s="145" t="s">
        <v>1174</v>
      </c>
      <c r="Q12" s="145">
        <v>27362</v>
      </c>
      <c r="R12" s="145" t="s">
        <v>1496</v>
      </c>
      <c r="S12" s="145">
        <v>9315</v>
      </c>
      <c r="T12" s="145" t="s">
        <v>1497</v>
      </c>
      <c r="U12" s="145">
        <v>18072</v>
      </c>
      <c r="V12" s="145" t="s">
        <v>546</v>
      </c>
      <c r="W12" s="149">
        <v>27372</v>
      </c>
      <c r="X12" s="145">
        <v>98.31</v>
      </c>
      <c r="Y12" s="145">
        <v>27544</v>
      </c>
      <c r="Z12" s="145" t="s">
        <v>899</v>
      </c>
      <c r="AA12" s="145">
        <v>13906</v>
      </c>
      <c r="AB12" s="148">
        <v>12688</v>
      </c>
      <c r="AC12" s="99">
        <f t="shared" si="0"/>
        <v>46.353938331141315</v>
      </c>
      <c r="AD12" s="145">
        <v>554</v>
      </c>
      <c r="AE12" s="145">
        <v>167</v>
      </c>
      <c r="AF12" s="145">
        <v>26586</v>
      </c>
      <c r="AG12" s="145" t="s">
        <v>1498</v>
      </c>
      <c r="AH12" s="134">
        <v>4518</v>
      </c>
      <c r="AI12" s="108">
        <v>16.510000000000002</v>
      </c>
      <c r="AJ12" s="95">
        <v>1227</v>
      </c>
      <c r="AK12" s="95">
        <v>4.4800000000000004</v>
      </c>
      <c r="AL12" s="95">
        <v>1029</v>
      </c>
      <c r="AM12" s="95">
        <v>3.76</v>
      </c>
      <c r="AN12" s="95">
        <v>3395</v>
      </c>
      <c r="AO12" s="95">
        <v>12.4</v>
      </c>
      <c r="AP12" s="145">
        <v>4991</v>
      </c>
      <c r="AQ12" s="145">
        <v>3544</v>
      </c>
      <c r="AR12" s="145">
        <v>3292</v>
      </c>
      <c r="AS12" s="145">
        <v>92.89</v>
      </c>
      <c r="AT12" s="148">
        <v>3266</v>
      </c>
      <c r="AU12" s="148">
        <v>2238</v>
      </c>
      <c r="AV12" s="148">
        <v>68.52</v>
      </c>
      <c r="AW12" s="145">
        <v>3786</v>
      </c>
      <c r="AX12" s="145">
        <v>3312</v>
      </c>
      <c r="AY12" s="145" t="s">
        <v>1499</v>
      </c>
      <c r="AZ12" s="145">
        <v>3242</v>
      </c>
      <c r="BA12" s="145">
        <v>97.89</v>
      </c>
      <c r="BB12" s="145">
        <v>3274</v>
      </c>
      <c r="BC12" s="145" t="s">
        <v>1491</v>
      </c>
      <c r="BD12" s="148">
        <v>3226</v>
      </c>
      <c r="BE12" s="148">
        <v>97.4</v>
      </c>
      <c r="BF12" s="145">
        <v>3252</v>
      </c>
      <c r="BG12" s="145">
        <v>3232</v>
      </c>
      <c r="BH12" s="145" t="s">
        <v>1500</v>
      </c>
      <c r="BI12" s="145">
        <v>30274</v>
      </c>
      <c r="BJ12" s="145">
        <v>30237</v>
      </c>
      <c r="BK12" s="145">
        <v>4818</v>
      </c>
      <c r="BL12" s="145">
        <v>4809</v>
      </c>
      <c r="BM12" s="145" t="s">
        <v>1501</v>
      </c>
      <c r="BN12" s="145">
        <v>2939</v>
      </c>
      <c r="BO12" s="145">
        <v>2849</v>
      </c>
      <c r="BP12" s="145">
        <v>29036</v>
      </c>
      <c r="BQ12" s="145">
        <v>28369</v>
      </c>
      <c r="BR12" s="145">
        <v>27702</v>
      </c>
      <c r="BS12" s="145" t="s">
        <v>1502</v>
      </c>
      <c r="BT12" s="145">
        <v>6191</v>
      </c>
      <c r="BU12" s="145">
        <v>6081</v>
      </c>
      <c r="BV12" s="145" t="s">
        <v>536</v>
      </c>
      <c r="BW12" s="145">
        <v>33854</v>
      </c>
      <c r="BX12" s="145">
        <v>32511</v>
      </c>
      <c r="BY12" s="145" t="s">
        <v>1503</v>
      </c>
      <c r="BZ12" s="145">
        <v>40045</v>
      </c>
      <c r="CA12" s="145">
        <v>38592</v>
      </c>
      <c r="CB12" s="145" t="s">
        <v>1504</v>
      </c>
      <c r="CC12" s="95">
        <v>3573</v>
      </c>
      <c r="CD12" s="95">
        <v>264</v>
      </c>
      <c r="CE12" s="95">
        <v>7.39</v>
      </c>
      <c r="CF12" s="95">
        <v>7482</v>
      </c>
      <c r="CG12" s="95">
        <v>704</v>
      </c>
      <c r="CH12" s="95">
        <v>9.41</v>
      </c>
      <c r="CI12" s="95">
        <v>27069</v>
      </c>
      <c r="CJ12" s="95">
        <v>960</v>
      </c>
      <c r="CK12" s="95">
        <v>3.55</v>
      </c>
      <c r="CL12" s="145" t="s">
        <v>1441</v>
      </c>
      <c r="CM12" s="145">
        <v>7</v>
      </c>
      <c r="CN12" s="145">
        <v>0</v>
      </c>
      <c r="CO12" s="145">
        <v>0</v>
      </c>
      <c r="CP12" s="145">
        <v>40</v>
      </c>
      <c r="CQ12" s="145">
        <v>9</v>
      </c>
      <c r="CR12" s="145" t="s">
        <v>1505</v>
      </c>
      <c r="CS12" s="145">
        <v>41</v>
      </c>
      <c r="CT12" s="145">
        <v>11</v>
      </c>
      <c r="CU12" s="145" t="s">
        <v>1506</v>
      </c>
      <c r="CV12" s="145">
        <v>81</v>
      </c>
      <c r="CW12" s="148">
        <v>20</v>
      </c>
      <c r="CX12" s="148">
        <v>24.69</v>
      </c>
      <c r="CY12" s="109">
        <v>7425</v>
      </c>
      <c r="CZ12" s="95">
        <v>28</v>
      </c>
      <c r="DA12" s="95">
        <v>0.38</v>
      </c>
    </row>
    <row r="13" spans="1:105" x14ac:dyDescent="0.3">
      <c r="A13" s="104">
        <v>7</v>
      </c>
      <c r="B13" s="145" t="s">
        <v>281</v>
      </c>
      <c r="C13" s="145">
        <v>62250</v>
      </c>
      <c r="D13" s="145">
        <v>12792</v>
      </c>
      <c r="E13" s="145">
        <v>23787</v>
      </c>
      <c r="F13" s="145">
        <v>36564</v>
      </c>
      <c r="G13" s="145">
        <v>12382</v>
      </c>
      <c r="H13" s="145" t="s">
        <v>1507</v>
      </c>
      <c r="I13" s="145">
        <v>23069</v>
      </c>
      <c r="J13" s="145" t="s">
        <v>1457</v>
      </c>
      <c r="K13" s="145">
        <v>35442</v>
      </c>
      <c r="L13" s="145">
        <v>96.93</v>
      </c>
      <c r="M13" s="145">
        <v>12389</v>
      </c>
      <c r="N13" s="145" t="s">
        <v>1508</v>
      </c>
      <c r="O13" s="145">
        <v>23109</v>
      </c>
      <c r="P13" s="145" t="s">
        <v>1509</v>
      </c>
      <c r="Q13" s="145">
        <v>35487</v>
      </c>
      <c r="R13" s="145" t="s">
        <v>1510</v>
      </c>
      <c r="S13" s="145">
        <v>12369</v>
      </c>
      <c r="T13" s="145" t="s">
        <v>1511</v>
      </c>
      <c r="U13" s="145">
        <v>23111</v>
      </c>
      <c r="V13" s="145" t="s">
        <v>1512</v>
      </c>
      <c r="W13" s="149">
        <v>35467</v>
      </c>
      <c r="X13" s="145">
        <v>97</v>
      </c>
      <c r="Y13" s="145">
        <v>36522</v>
      </c>
      <c r="Z13" s="145" t="s">
        <v>1452</v>
      </c>
      <c r="AA13" s="145">
        <v>16946</v>
      </c>
      <c r="AB13" s="148">
        <v>17124</v>
      </c>
      <c r="AC13" s="99">
        <f t="shared" si="0"/>
        <v>48.281501113711336</v>
      </c>
      <c r="AD13" s="145">
        <v>1188</v>
      </c>
      <c r="AE13" s="145">
        <v>237</v>
      </c>
      <c r="AF13" s="145">
        <v>34073</v>
      </c>
      <c r="AG13" s="145" t="s">
        <v>1513</v>
      </c>
      <c r="AH13" s="134">
        <v>6356</v>
      </c>
      <c r="AI13" s="108">
        <v>17.920000000000002</v>
      </c>
      <c r="AJ13" s="95">
        <v>743</v>
      </c>
      <c r="AK13" s="95">
        <v>2.09</v>
      </c>
      <c r="AL13" s="95">
        <v>1349</v>
      </c>
      <c r="AM13" s="95">
        <v>3.8</v>
      </c>
      <c r="AN13" s="95">
        <v>3357</v>
      </c>
      <c r="AO13" s="95">
        <v>9.4700000000000006</v>
      </c>
      <c r="AP13" s="145">
        <v>6450</v>
      </c>
      <c r="AQ13" s="145">
        <v>4243</v>
      </c>
      <c r="AR13" s="145">
        <v>3909</v>
      </c>
      <c r="AS13" s="145">
        <v>92.13</v>
      </c>
      <c r="AT13" s="148">
        <v>4464</v>
      </c>
      <c r="AU13" s="148">
        <v>3723</v>
      </c>
      <c r="AV13" s="148">
        <v>83.4</v>
      </c>
      <c r="AW13" s="145">
        <v>4716</v>
      </c>
      <c r="AX13" s="145">
        <v>3452</v>
      </c>
      <c r="AY13" s="145" t="s">
        <v>1514</v>
      </c>
      <c r="AZ13" s="145">
        <v>3418</v>
      </c>
      <c r="BA13" s="145">
        <v>99.02</v>
      </c>
      <c r="BB13" s="145">
        <v>3432</v>
      </c>
      <c r="BC13" s="145" t="s">
        <v>1515</v>
      </c>
      <c r="BD13" s="148">
        <v>3411</v>
      </c>
      <c r="BE13" s="148">
        <v>98.81</v>
      </c>
      <c r="BF13" s="145">
        <v>4282</v>
      </c>
      <c r="BG13" s="145">
        <v>4265</v>
      </c>
      <c r="BH13" s="145" t="s">
        <v>843</v>
      </c>
      <c r="BI13" s="145">
        <v>39828</v>
      </c>
      <c r="BJ13" s="145">
        <v>39656</v>
      </c>
      <c r="BK13" s="145">
        <v>6035</v>
      </c>
      <c r="BL13" s="145">
        <v>6014</v>
      </c>
      <c r="BM13" s="145" t="s">
        <v>395</v>
      </c>
      <c r="BN13" s="145">
        <v>3989</v>
      </c>
      <c r="BO13" s="145">
        <v>3986</v>
      </c>
      <c r="BP13" s="145">
        <v>37950</v>
      </c>
      <c r="BQ13" s="145">
        <v>37943</v>
      </c>
      <c r="BR13" s="145">
        <v>37332</v>
      </c>
      <c r="BS13" s="145" t="s">
        <v>1516</v>
      </c>
      <c r="BT13" s="145">
        <v>8271</v>
      </c>
      <c r="BU13" s="145">
        <v>8251</v>
      </c>
      <c r="BV13" s="145" t="s">
        <v>1517</v>
      </c>
      <c r="BW13" s="145">
        <v>43985</v>
      </c>
      <c r="BX13" s="145">
        <v>43346</v>
      </c>
      <c r="BY13" s="145" t="s">
        <v>1271</v>
      </c>
      <c r="BZ13" s="145">
        <v>52256</v>
      </c>
      <c r="CA13" s="145">
        <v>51597</v>
      </c>
      <c r="CB13" s="145" t="s">
        <v>1518</v>
      </c>
      <c r="CC13" s="95">
        <v>3997</v>
      </c>
      <c r="CD13" s="95">
        <v>243</v>
      </c>
      <c r="CE13" s="95">
        <v>6.08</v>
      </c>
      <c r="CF13" s="95">
        <v>14071</v>
      </c>
      <c r="CG13" s="95">
        <v>742</v>
      </c>
      <c r="CH13" s="95">
        <v>5.27</v>
      </c>
      <c r="CI13" s="95">
        <v>66879</v>
      </c>
      <c r="CJ13" s="95">
        <v>1504</v>
      </c>
      <c r="CK13" s="95">
        <v>2.25</v>
      </c>
      <c r="CL13" s="145" t="s">
        <v>1441</v>
      </c>
      <c r="CM13" s="145">
        <v>9</v>
      </c>
      <c r="CN13" s="145">
        <v>2</v>
      </c>
      <c r="CO13" s="145" t="s">
        <v>1519</v>
      </c>
      <c r="CP13" s="145">
        <v>33</v>
      </c>
      <c r="CQ13" s="145">
        <v>6</v>
      </c>
      <c r="CR13" s="145" t="s">
        <v>1481</v>
      </c>
      <c r="CS13" s="145">
        <v>54</v>
      </c>
      <c r="CT13" s="145">
        <v>12</v>
      </c>
      <c r="CU13" s="145" t="s">
        <v>1519</v>
      </c>
      <c r="CV13" s="145">
        <v>87</v>
      </c>
      <c r="CW13" s="148">
        <v>18</v>
      </c>
      <c r="CX13" s="148">
        <v>20.69</v>
      </c>
      <c r="CY13" s="109">
        <v>12653</v>
      </c>
      <c r="CZ13" s="95">
        <v>255</v>
      </c>
      <c r="DA13" s="95">
        <v>2.02</v>
      </c>
    </row>
    <row r="14" spans="1:105" x14ac:dyDescent="0.3">
      <c r="A14" s="104">
        <v>8</v>
      </c>
      <c r="B14" s="145" t="s">
        <v>282</v>
      </c>
      <c r="C14" s="145">
        <v>99341</v>
      </c>
      <c r="D14" s="145">
        <v>17848</v>
      </c>
      <c r="E14" s="145">
        <v>34608</v>
      </c>
      <c r="F14" s="145">
        <v>52463</v>
      </c>
      <c r="G14" s="145">
        <v>17022</v>
      </c>
      <c r="H14" s="145" t="s">
        <v>1520</v>
      </c>
      <c r="I14" s="145">
        <v>33169</v>
      </c>
      <c r="J14" s="145" t="s">
        <v>1521</v>
      </c>
      <c r="K14" s="145">
        <v>50199</v>
      </c>
      <c r="L14" s="145">
        <v>95.68</v>
      </c>
      <c r="M14" s="145">
        <v>17030</v>
      </c>
      <c r="N14" s="145" t="s">
        <v>1522</v>
      </c>
      <c r="O14" s="145">
        <v>33169</v>
      </c>
      <c r="P14" s="145" t="s">
        <v>1521</v>
      </c>
      <c r="Q14" s="145">
        <v>50205</v>
      </c>
      <c r="R14" s="145" t="s">
        <v>551</v>
      </c>
      <c r="S14" s="145">
        <v>17028</v>
      </c>
      <c r="T14" s="145" t="s">
        <v>1523</v>
      </c>
      <c r="U14" s="145">
        <v>33161</v>
      </c>
      <c r="V14" s="145" t="s">
        <v>1524</v>
      </c>
      <c r="W14" s="149">
        <v>50196</v>
      </c>
      <c r="X14" s="145">
        <v>95.68</v>
      </c>
      <c r="Y14" s="145">
        <v>52284</v>
      </c>
      <c r="Z14" s="145" t="s">
        <v>872</v>
      </c>
      <c r="AA14" s="145">
        <v>24183</v>
      </c>
      <c r="AB14" s="148">
        <v>23936</v>
      </c>
      <c r="AC14" s="99">
        <f t="shared" si="0"/>
        <v>47.685074507928924</v>
      </c>
      <c r="AD14" s="145">
        <v>1712</v>
      </c>
      <c r="AE14" s="145">
        <v>325</v>
      </c>
      <c r="AF14" s="145">
        <v>48127</v>
      </c>
      <c r="AG14" s="145" t="s">
        <v>1525</v>
      </c>
      <c r="AH14" s="134">
        <v>7900</v>
      </c>
      <c r="AI14" s="108">
        <v>15.74</v>
      </c>
      <c r="AJ14" s="95">
        <v>2330</v>
      </c>
      <c r="AK14" s="95">
        <v>4.6399999999999997</v>
      </c>
      <c r="AL14" s="95">
        <v>1601</v>
      </c>
      <c r="AM14" s="95">
        <v>3.19</v>
      </c>
      <c r="AN14" s="95">
        <v>5631</v>
      </c>
      <c r="AO14" s="95">
        <v>11.22</v>
      </c>
      <c r="AP14" s="145">
        <v>8874</v>
      </c>
      <c r="AQ14" s="145">
        <v>4941</v>
      </c>
      <c r="AR14" s="145">
        <v>4779</v>
      </c>
      <c r="AS14" s="145">
        <v>96.72</v>
      </c>
      <c r="AT14" s="148">
        <v>6026</v>
      </c>
      <c r="AU14" s="148">
        <v>3983</v>
      </c>
      <c r="AV14" s="148">
        <v>66.099999999999994</v>
      </c>
      <c r="AW14" s="145">
        <v>6242</v>
      </c>
      <c r="AX14" s="145">
        <v>3915</v>
      </c>
      <c r="AY14" s="145" t="s">
        <v>1526</v>
      </c>
      <c r="AZ14" s="145">
        <v>3756</v>
      </c>
      <c r="BA14" s="145">
        <v>95.94</v>
      </c>
      <c r="BB14" s="145">
        <v>3814</v>
      </c>
      <c r="BC14" s="145" t="s">
        <v>1527</v>
      </c>
      <c r="BD14" s="148">
        <v>3689</v>
      </c>
      <c r="BE14" s="148">
        <v>94.23</v>
      </c>
      <c r="BF14" s="145">
        <v>5954</v>
      </c>
      <c r="BG14" s="145">
        <v>5921</v>
      </c>
      <c r="BH14" s="145" t="s">
        <v>1528</v>
      </c>
      <c r="BI14" s="145">
        <v>57467</v>
      </c>
      <c r="BJ14" s="145">
        <v>57302</v>
      </c>
      <c r="BK14" s="145">
        <v>8251</v>
      </c>
      <c r="BL14" s="145">
        <v>8234</v>
      </c>
      <c r="BM14" s="145" t="s">
        <v>412</v>
      </c>
      <c r="BN14" s="145">
        <v>5363</v>
      </c>
      <c r="BO14" s="145">
        <v>5293</v>
      </c>
      <c r="BP14" s="145">
        <v>55362</v>
      </c>
      <c r="BQ14" s="145">
        <v>55035</v>
      </c>
      <c r="BR14" s="145">
        <v>53953</v>
      </c>
      <c r="BS14" s="145" t="s">
        <v>535</v>
      </c>
      <c r="BT14" s="145">
        <v>11317</v>
      </c>
      <c r="BU14" s="145">
        <v>11214</v>
      </c>
      <c r="BV14" s="145" t="s">
        <v>1447</v>
      </c>
      <c r="BW14" s="145">
        <v>63613</v>
      </c>
      <c r="BX14" s="145">
        <v>62187</v>
      </c>
      <c r="BY14" s="145" t="s">
        <v>417</v>
      </c>
      <c r="BZ14" s="145">
        <v>74930</v>
      </c>
      <c r="CA14" s="145">
        <v>73401</v>
      </c>
      <c r="CB14" s="145" t="s">
        <v>1529</v>
      </c>
      <c r="CC14" s="95">
        <v>9366</v>
      </c>
      <c r="CD14" s="95">
        <v>286</v>
      </c>
      <c r="CE14" s="95">
        <v>3.05</v>
      </c>
      <c r="CF14" s="95">
        <v>17379</v>
      </c>
      <c r="CG14" s="95">
        <v>637</v>
      </c>
      <c r="CH14" s="95">
        <v>3.67</v>
      </c>
      <c r="CI14" s="95">
        <v>78815</v>
      </c>
      <c r="CJ14" s="95">
        <v>1073</v>
      </c>
      <c r="CK14" s="95">
        <v>1.36</v>
      </c>
      <c r="CL14" s="145" t="s">
        <v>1441</v>
      </c>
      <c r="CM14" s="145">
        <v>16</v>
      </c>
      <c r="CN14" s="145">
        <v>0</v>
      </c>
      <c r="CO14" s="145">
        <v>0</v>
      </c>
      <c r="CP14" s="145">
        <v>56</v>
      </c>
      <c r="CQ14" s="145">
        <v>2</v>
      </c>
      <c r="CR14" s="145" t="s">
        <v>298</v>
      </c>
      <c r="CS14" s="145">
        <v>111</v>
      </c>
      <c r="CT14" s="145">
        <v>1</v>
      </c>
      <c r="CU14" s="145" t="s">
        <v>1530</v>
      </c>
      <c r="CV14" s="145">
        <v>167</v>
      </c>
      <c r="CW14" s="148">
        <v>3</v>
      </c>
      <c r="CX14" s="148">
        <v>1.8</v>
      </c>
      <c r="CY14" s="109">
        <v>15720</v>
      </c>
      <c r="CZ14" s="95">
        <v>343</v>
      </c>
      <c r="DA14" s="95">
        <v>2.1800000000000002</v>
      </c>
    </row>
    <row r="15" spans="1:105" x14ac:dyDescent="0.3">
      <c r="A15" s="104">
        <v>9</v>
      </c>
      <c r="B15" s="145" t="s">
        <v>283</v>
      </c>
      <c r="C15" s="145">
        <v>67997</v>
      </c>
      <c r="D15" s="145">
        <v>14428</v>
      </c>
      <c r="E15" s="145">
        <v>29795</v>
      </c>
      <c r="F15" s="145">
        <v>44217</v>
      </c>
      <c r="G15" s="145">
        <v>13742</v>
      </c>
      <c r="H15" s="145" t="s">
        <v>506</v>
      </c>
      <c r="I15" s="145">
        <v>29148</v>
      </c>
      <c r="J15" s="145" t="s">
        <v>1531</v>
      </c>
      <c r="K15" s="145">
        <v>42888</v>
      </c>
      <c r="L15" s="145">
        <v>96.99</v>
      </c>
      <c r="M15" s="145">
        <v>13718</v>
      </c>
      <c r="N15" s="145" t="s">
        <v>1532</v>
      </c>
      <c r="O15" s="145">
        <v>29056</v>
      </c>
      <c r="P15" s="145" t="s">
        <v>713</v>
      </c>
      <c r="Q15" s="145">
        <v>42775</v>
      </c>
      <c r="R15" s="145" t="s">
        <v>828</v>
      </c>
      <c r="S15" s="145">
        <v>13734</v>
      </c>
      <c r="T15" s="145" t="s">
        <v>1533</v>
      </c>
      <c r="U15" s="145">
        <v>29146</v>
      </c>
      <c r="V15" s="145" t="s">
        <v>1534</v>
      </c>
      <c r="W15" s="149">
        <v>42882</v>
      </c>
      <c r="X15" s="145">
        <v>96.98</v>
      </c>
      <c r="Y15" s="145">
        <v>37732</v>
      </c>
      <c r="Z15" s="145" t="s">
        <v>940</v>
      </c>
      <c r="AA15" s="145">
        <v>23062</v>
      </c>
      <c r="AB15" s="148">
        <v>18116</v>
      </c>
      <c r="AC15" s="99">
        <f t="shared" si="0"/>
        <v>42.246163891609534</v>
      </c>
      <c r="AD15" s="145">
        <v>1353</v>
      </c>
      <c r="AE15" s="145">
        <v>339</v>
      </c>
      <c r="AF15" s="145">
        <v>41185</v>
      </c>
      <c r="AG15" s="145">
        <v>56</v>
      </c>
      <c r="AH15" s="134">
        <v>5209</v>
      </c>
      <c r="AI15" s="108">
        <v>12.15</v>
      </c>
      <c r="AJ15" s="95">
        <v>1774</v>
      </c>
      <c r="AK15" s="95">
        <v>4.1500000000000004</v>
      </c>
      <c r="AL15" s="95">
        <v>1769</v>
      </c>
      <c r="AM15" s="95">
        <v>4.1399999999999997</v>
      </c>
      <c r="AN15" s="95">
        <v>3769</v>
      </c>
      <c r="AO15" s="95">
        <v>8.7899999999999991</v>
      </c>
      <c r="AP15" s="145">
        <v>7773</v>
      </c>
      <c r="AQ15" s="145">
        <v>6020</v>
      </c>
      <c r="AR15" s="145">
        <v>5426</v>
      </c>
      <c r="AS15" s="145">
        <v>90.13</v>
      </c>
      <c r="AT15" s="148">
        <v>5049</v>
      </c>
      <c r="AU15" s="148">
        <v>3678</v>
      </c>
      <c r="AV15" s="148">
        <v>72.849999999999994</v>
      </c>
      <c r="AW15" s="145">
        <v>5401</v>
      </c>
      <c r="AX15" s="145">
        <v>3311</v>
      </c>
      <c r="AY15" s="145" t="s">
        <v>1535</v>
      </c>
      <c r="AZ15" s="145">
        <v>3212</v>
      </c>
      <c r="BA15" s="145">
        <v>97.01</v>
      </c>
      <c r="BB15" s="145">
        <v>3233</v>
      </c>
      <c r="BC15" s="145" t="s">
        <v>1536</v>
      </c>
      <c r="BD15" s="148">
        <v>3162</v>
      </c>
      <c r="BE15" s="148">
        <v>95.5</v>
      </c>
      <c r="BF15" s="145">
        <v>4283</v>
      </c>
      <c r="BG15" s="145">
        <v>4232</v>
      </c>
      <c r="BH15" s="145" t="s">
        <v>1537</v>
      </c>
      <c r="BI15" s="145">
        <v>47353</v>
      </c>
      <c r="BJ15" s="145">
        <v>47251</v>
      </c>
      <c r="BK15" s="145">
        <v>7439</v>
      </c>
      <c r="BL15" s="145">
        <v>7397</v>
      </c>
      <c r="BM15" s="145" t="s">
        <v>392</v>
      </c>
      <c r="BN15" s="145">
        <v>4396</v>
      </c>
      <c r="BO15" s="145">
        <v>4348</v>
      </c>
      <c r="BP15" s="145">
        <v>45848</v>
      </c>
      <c r="BQ15" s="145">
        <v>45359</v>
      </c>
      <c r="BR15" s="145">
        <v>42500</v>
      </c>
      <c r="BS15" s="145" t="s">
        <v>899</v>
      </c>
      <c r="BT15" s="145">
        <v>8679</v>
      </c>
      <c r="BU15" s="145">
        <v>8580</v>
      </c>
      <c r="BV15" s="145" t="s">
        <v>1495</v>
      </c>
      <c r="BW15" s="145">
        <v>53287</v>
      </c>
      <c r="BX15" s="145">
        <v>49897</v>
      </c>
      <c r="BY15" s="145" t="s">
        <v>1184</v>
      </c>
      <c r="BZ15" s="145">
        <v>61966</v>
      </c>
      <c r="CA15" s="145">
        <v>58477</v>
      </c>
      <c r="CB15" s="145" t="s">
        <v>557</v>
      </c>
      <c r="CC15" s="95">
        <v>4319</v>
      </c>
      <c r="CD15" s="95">
        <v>593</v>
      </c>
      <c r="CE15" s="95">
        <v>13.73</v>
      </c>
      <c r="CF15" s="95">
        <v>6305</v>
      </c>
      <c r="CG15" s="95">
        <v>622</v>
      </c>
      <c r="CH15" s="95">
        <v>9.8699999999999992</v>
      </c>
      <c r="CI15" s="95">
        <v>31106</v>
      </c>
      <c r="CJ15" s="95">
        <v>3144</v>
      </c>
      <c r="CK15" s="95">
        <v>10.11</v>
      </c>
      <c r="CL15" s="145" t="s">
        <v>1441</v>
      </c>
      <c r="CM15" s="145">
        <v>8</v>
      </c>
      <c r="CN15" s="145">
        <v>1</v>
      </c>
      <c r="CO15" s="145" t="s">
        <v>722</v>
      </c>
      <c r="CP15" s="145">
        <v>13</v>
      </c>
      <c r="CQ15" s="145">
        <v>5</v>
      </c>
      <c r="CR15" s="145" t="s">
        <v>1169</v>
      </c>
      <c r="CS15" s="145">
        <v>24</v>
      </c>
      <c r="CT15" s="145">
        <v>6</v>
      </c>
      <c r="CU15" s="145">
        <v>25</v>
      </c>
      <c r="CV15" s="145">
        <v>37</v>
      </c>
      <c r="CW15" s="148">
        <v>11</v>
      </c>
      <c r="CX15" s="148">
        <v>29.73</v>
      </c>
      <c r="CY15" s="109">
        <v>6468</v>
      </c>
      <c r="CZ15" s="95">
        <v>61</v>
      </c>
      <c r="DA15" s="95">
        <v>0.94</v>
      </c>
    </row>
    <row r="16" spans="1:105" x14ac:dyDescent="0.3">
      <c r="A16" s="104">
        <v>10</v>
      </c>
      <c r="B16" s="145" t="s">
        <v>284</v>
      </c>
      <c r="C16" s="145">
        <v>86642</v>
      </c>
      <c r="D16" s="145">
        <v>17054</v>
      </c>
      <c r="E16" s="145">
        <v>30969</v>
      </c>
      <c r="F16" s="145">
        <v>48020</v>
      </c>
      <c r="G16" s="145">
        <v>16703</v>
      </c>
      <c r="H16" s="145" t="s">
        <v>1437</v>
      </c>
      <c r="I16" s="145">
        <v>30650</v>
      </c>
      <c r="J16" s="145" t="s">
        <v>1538</v>
      </c>
      <c r="K16" s="145">
        <v>47356</v>
      </c>
      <c r="L16" s="145">
        <v>98.62</v>
      </c>
      <c r="M16" s="145">
        <v>16702</v>
      </c>
      <c r="N16" s="145" t="s">
        <v>1437</v>
      </c>
      <c r="O16" s="145">
        <v>30644</v>
      </c>
      <c r="P16" s="145" t="s">
        <v>1451</v>
      </c>
      <c r="Q16" s="145">
        <v>47351</v>
      </c>
      <c r="R16" s="145" t="s">
        <v>1539</v>
      </c>
      <c r="S16" s="145">
        <v>16697</v>
      </c>
      <c r="T16" s="145" t="s">
        <v>446</v>
      </c>
      <c r="U16" s="145">
        <v>30643</v>
      </c>
      <c r="V16" s="145" t="s">
        <v>1451</v>
      </c>
      <c r="W16" s="149">
        <v>47344</v>
      </c>
      <c r="X16" s="145">
        <v>98.59</v>
      </c>
      <c r="Y16" s="145">
        <v>45468</v>
      </c>
      <c r="Z16" s="145" t="s">
        <v>1540</v>
      </c>
      <c r="AA16" s="145">
        <v>23943</v>
      </c>
      <c r="AB16" s="148">
        <v>22164</v>
      </c>
      <c r="AC16" s="99">
        <f t="shared" si="0"/>
        <v>46.814802298073673</v>
      </c>
      <c r="AD16" s="145">
        <v>688</v>
      </c>
      <c r="AE16" s="145">
        <v>556</v>
      </c>
      <c r="AF16" s="145">
        <v>46118</v>
      </c>
      <c r="AG16" s="145" t="s">
        <v>1541</v>
      </c>
      <c r="AH16" s="134">
        <v>6203</v>
      </c>
      <c r="AI16" s="108">
        <v>13.1</v>
      </c>
      <c r="AJ16" s="95">
        <v>2440</v>
      </c>
      <c r="AK16" s="95">
        <v>5.15</v>
      </c>
      <c r="AL16" s="95">
        <v>1815</v>
      </c>
      <c r="AM16" s="95">
        <v>3.83</v>
      </c>
      <c r="AN16" s="95">
        <v>5834</v>
      </c>
      <c r="AO16" s="95">
        <v>12.32</v>
      </c>
      <c r="AP16" s="145">
        <v>9960</v>
      </c>
      <c r="AQ16" s="145">
        <v>8649</v>
      </c>
      <c r="AR16" s="145">
        <v>8088</v>
      </c>
      <c r="AS16" s="145">
        <v>93.51</v>
      </c>
      <c r="AT16" s="148">
        <v>5931</v>
      </c>
      <c r="AU16" s="148">
        <v>4894</v>
      </c>
      <c r="AV16" s="148">
        <v>82.52</v>
      </c>
      <c r="AW16" s="145">
        <v>6882</v>
      </c>
      <c r="AX16" s="145">
        <v>5775</v>
      </c>
      <c r="AY16" s="145" t="s">
        <v>1542</v>
      </c>
      <c r="AZ16" s="145">
        <v>5190</v>
      </c>
      <c r="BA16" s="145">
        <v>89.87</v>
      </c>
      <c r="BB16" s="145">
        <v>5562</v>
      </c>
      <c r="BC16" s="145" t="s">
        <v>1543</v>
      </c>
      <c r="BD16" s="148">
        <v>5143</v>
      </c>
      <c r="BE16" s="148">
        <v>89.06</v>
      </c>
      <c r="BF16" s="145">
        <v>5341</v>
      </c>
      <c r="BG16" s="145">
        <v>5324</v>
      </c>
      <c r="BH16" s="145" t="s">
        <v>1118</v>
      </c>
      <c r="BI16" s="145">
        <v>49526</v>
      </c>
      <c r="BJ16" s="145">
        <v>49452</v>
      </c>
      <c r="BK16" s="145">
        <v>7281</v>
      </c>
      <c r="BL16" s="145">
        <v>7277</v>
      </c>
      <c r="BM16" s="145" t="s">
        <v>1465</v>
      </c>
      <c r="BN16" s="145">
        <v>4915</v>
      </c>
      <c r="BO16" s="145">
        <v>4901</v>
      </c>
      <c r="BP16" s="145">
        <v>47789</v>
      </c>
      <c r="BQ16" s="145">
        <v>47702</v>
      </c>
      <c r="BR16" s="145">
        <v>46910</v>
      </c>
      <c r="BS16" s="145" t="s">
        <v>424</v>
      </c>
      <c r="BT16" s="145">
        <v>10256</v>
      </c>
      <c r="BU16" s="145">
        <v>10225</v>
      </c>
      <c r="BV16" s="145" t="s">
        <v>1172</v>
      </c>
      <c r="BW16" s="145">
        <v>55070</v>
      </c>
      <c r="BX16" s="145">
        <v>54187</v>
      </c>
      <c r="BY16" s="145" t="s">
        <v>1544</v>
      </c>
      <c r="BZ16" s="145">
        <v>65326</v>
      </c>
      <c r="CA16" s="145">
        <v>64412</v>
      </c>
      <c r="CB16" s="145" t="s">
        <v>1545</v>
      </c>
      <c r="CC16" s="95">
        <v>15100</v>
      </c>
      <c r="CD16" s="95">
        <v>1386</v>
      </c>
      <c r="CE16" s="95">
        <v>9.18</v>
      </c>
      <c r="CF16" s="95">
        <v>25656</v>
      </c>
      <c r="CG16" s="95">
        <v>1241</v>
      </c>
      <c r="CH16" s="95">
        <v>4.84</v>
      </c>
      <c r="CI16" s="95">
        <v>104337</v>
      </c>
      <c r="CJ16" s="95">
        <v>1271</v>
      </c>
      <c r="CK16" s="95">
        <v>1.22</v>
      </c>
      <c r="CL16" s="145" t="s">
        <v>1441</v>
      </c>
      <c r="CM16" s="145">
        <v>50</v>
      </c>
      <c r="CN16" s="145">
        <v>14</v>
      </c>
      <c r="CO16" s="145">
        <v>28</v>
      </c>
      <c r="CP16" s="145">
        <v>145</v>
      </c>
      <c r="CQ16" s="145">
        <v>46</v>
      </c>
      <c r="CR16" s="145" t="s">
        <v>1546</v>
      </c>
      <c r="CS16" s="145">
        <v>236</v>
      </c>
      <c r="CT16" s="145">
        <v>75</v>
      </c>
      <c r="CU16" s="145" t="s">
        <v>1547</v>
      </c>
      <c r="CV16" s="145">
        <v>381</v>
      </c>
      <c r="CW16" s="148">
        <v>121</v>
      </c>
      <c r="CX16" s="148">
        <v>31.76</v>
      </c>
      <c r="CY16" s="109">
        <v>14767</v>
      </c>
      <c r="CZ16" s="95">
        <v>522</v>
      </c>
      <c r="DA16" s="95">
        <v>3.53</v>
      </c>
    </row>
    <row r="17" spans="1:105" x14ac:dyDescent="0.3">
      <c r="A17" s="104">
        <v>11</v>
      </c>
      <c r="B17" s="145" t="s">
        <v>285</v>
      </c>
      <c r="C17" s="145">
        <v>66206</v>
      </c>
      <c r="D17" s="145">
        <v>12860</v>
      </c>
      <c r="E17" s="145">
        <v>22974</v>
      </c>
      <c r="F17" s="145">
        <v>35827</v>
      </c>
      <c r="G17" s="145">
        <v>12812</v>
      </c>
      <c r="H17" s="145" t="s">
        <v>927</v>
      </c>
      <c r="I17" s="145">
        <v>22953</v>
      </c>
      <c r="J17" s="145" t="s">
        <v>913</v>
      </c>
      <c r="K17" s="145">
        <v>35769</v>
      </c>
      <c r="L17" s="145">
        <v>99.84</v>
      </c>
      <c r="M17" s="145">
        <v>12837</v>
      </c>
      <c r="N17" s="145" t="s">
        <v>424</v>
      </c>
      <c r="O17" s="145">
        <v>22953</v>
      </c>
      <c r="P17" s="145" t="s">
        <v>913</v>
      </c>
      <c r="Q17" s="145">
        <v>35793</v>
      </c>
      <c r="R17" s="145" t="s">
        <v>913</v>
      </c>
      <c r="S17" s="145">
        <v>12837</v>
      </c>
      <c r="T17" s="145" t="s">
        <v>424</v>
      </c>
      <c r="U17" s="145">
        <v>22953</v>
      </c>
      <c r="V17" s="145" t="s">
        <v>913</v>
      </c>
      <c r="W17" s="149">
        <v>35793</v>
      </c>
      <c r="X17" s="145">
        <v>99.91</v>
      </c>
      <c r="Y17" s="145">
        <v>35821</v>
      </c>
      <c r="Z17" s="145" t="s">
        <v>1516</v>
      </c>
      <c r="AA17" s="145">
        <v>21304</v>
      </c>
      <c r="AB17" s="148">
        <v>13843</v>
      </c>
      <c r="AC17" s="99">
        <f t="shared" si="0"/>
        <v>38.675159947475763</v>
      </c>
      <c r="AD17" s="145">
        <v>145</v>
      </c>
      <c r="AE17" s="145">
        <v>485</v>
      </c>
      <c r="AF17" s="145">
        <v>35145</v>
      </c>
      <c r="AG17" s="145" t="s">
        <v>1548</v>
      </c>
      <c r="AH17" s="134">
        <v>2792</v>
      </c>
      <c r="AI17" s="108">
        <v>7.8</v>
      </c>
      <c r="AJ17" s="95">
        <v>1391</v>
      </c>
      <c r="AK17" s="95">
        <v>3.89</v>
      </c>
      <c r="AL17" s="95">
        <v>1475</v>
      </c>
      <c r="AM17" s="95">
        <v>4.12</v>
      </c>
      <c r="AN17" s="95">
        <v>3396</v>
      </c>
      <c r="AO17" s="95">
        <v>9.49</v>
      </c>
      <c r="AP17" s="145">
        <v>7512</v>
      </c>
      <c r="AQ17" s="145">
        <v>6441</v>
      </c>
      <c r="AR17" s="145">
        <v>5886</v>
      </c>
      <c r="AS17" s="145">
        <v>91.38</v>
      </c>
      <c r="AT17" s="148">
        <v>4454</v>
      </c>
      <c r="AU17" s="148">
        <v>3366</v>
      </c>
      <c r="AV17" s="148">
        <v>75.569999999999993</v>
      </c>
      <c r="AW17" s="145">
        <v>5053</v>
      </c>
      <c r="AX17" s="145">
        <v>4528</v>
      </c>
      <c r="AY17" s="145" t="s">
        <v>1549</v>
      </c>
      <c r="AZ17" s="145">
        <v>4509</v>
      </c>
      <c r="BA17" s="145">
        <v>99.58</v>
      </c>
      <c r="BB17" s="145">
        <v>4520</v>
      </c>
      <c r="BC17" s="145" t="s">
        <v>424</v>
      </c>
      <c r="BD17" s="148">
        <v>4506</v>
      </c>
      <c r="BE17" s="148">
        <v>99.51</v>
      </c>
      <c r="BF17" s="145">
        <v>4126</v>
      </c>
      <c r="BG17" s="145">
        <v>4119</v>
      </c>
      <c r="BH17" s="145" t="s">
        <v>1009</v>
      </c>
      <c r="BI17" s="145">
        <v>37413</v>
      </c>
      <c r="BJ17" s="145">
        <v>37376</v>
      </c>
      <c r="BK17" s="145">
        <v>5886</v>
      </c>
      <c r="BL17" s="145">
        <v>5835</v>
      </c>
      <c r="BM17" s="145" t="s">
        <v>517</v>
      </c>
      <c r="BN17" s="145">
        <v>3803</v>
      </c>
      <c r="BO17" s="145">
        <v>3803</v>
      </c>
      <c r="BP17" s="145">
        <v>35907</v>
      </c>
      <c r="BQ17" s="145">
        <v>35907</v>
      </c>
      <c r="BR17" s="145">
        <v>35057</v>
      </c>
      <c r="BS17" s="145">
        <v>100</v>
      </c>
      <c r="BT17" s="145">
        <v>7929</v>
      </c>
      <c r="BU17" s="145">
        <v>7922</v>
      </c>
      <c r="BV17" s="145" t="s">
        <v>913</v>
      </c>
      <c r="BW17" s="145">
        <v>41793</v>
      </c>
      <c r="BX17" s="145">
        <v>40892</v>
      </c>
      <c r="BY17" s="145" t="s">
        <v>1480</v>
      </c>
      <c r="BZ17" s="145">
        <v>49722</v>
      </c>
      <c r="CA17" s="145">
        <v>48814</v>
      </c>
      <c r="CB17" s="145" t="s">
        <v>1550</v>
      </c>
      <c r="CC17" s="95">
        <v>10670</v>
      </c>
      <c r="CD17" s="95">
        <v>1557</v>
      </c>
      <c r="CE17" s="95">
        <v>14.59</v>
      </c>
      <c r="CF17" s="95">
        <v>18394</v>
      </c>
      <c r="CG17" s="95">
        <v>1084</v>
      </c>
      <c r="CH17" s="95">
        <v>5.89</v>
      </c>
      <c r="CI17" s="95">
        <v>79616</v>
      </c>
      <c r="CJ17" s="95">
        <v>7351</v>
      </c>
      <c r="CK17" s="95">
        <v>9.23</v>
      </c>
      <c r="CL17" s="145" t="s">
        <v>1441</v>
      </c>
      <c r="CM17" s="145">
        <v>25</v>
      </c>
      <c r="CN17" s="145">
        <v>16</v>
      </c>
      <c r="CO17" s="145">
        <v>64</v>
      </c>
      <c r="CP17" s="145">
        <v>116</v>
      </c>
      <c r="CQ17" s="145">
        <v>88</v>
      </c>
      <c r="CR17" s="145" t="s">
        <v>1551</v>
      </c>
      <c r="CS17" s="145">
        <v>278</v>
      </c>
      <c r="CT17" s="145">
        <v>195</v>
      </c>
      <c r="CU17" s="145" t="s">
        <v>1552</v>
      </c>
      <c r="CV17" s="145">
        <v>394</v>
      </c>
      <c r="CW17" s="148">
        <v>283</v>
      </c>
      <c r="CX17" s="148">
        <v>71.83</v>
      </c>
      <c r="CY17" s="109">
        <v>6543</v>
      </c>
      <c r="CZ17" s="95">
        <v>396</v>
      </c>
      <c r="DA17" s="95">
        <v>6.05</v>
      </c>
    </row>
    <row r="18" spans="1:105" x14ac:dyDescent="0.3">
      <c r="A18" s="104">
        <v>12</v>
      </c>
      <c r="B18" s="145" t="s">
        <v>287</v>
      </c>
      <c r="C18" s="145">
        <v>58021</v>
      </c>
      <c r="D18" s="145">
        <v>10855</v>
      </c>
      <c r="E18" s="145">
        <v>20805</v>
      </c>
      <c r="F18" s="145">
        <v>31663</v>
      </c>
      <c r="G18" s="145">
        <v>10759</v>
      </c>
      <c r="H18" s="145" t="s">
        <v>981</v>
      </c>
      <c r="I18" s="145">
        <v>20769</v>
      </c>
      <c r="J18" s="145" t="s">
        <v>1009</v>
      </c>
      <c r="K18" s="145">
        <v>31506</v>
      </c>
      <c r="L18" s="145">
        <v>99.5</v>
      </c>
      <c r="M18" s="145">
        <v>10757</v>
      </c>
      <c r="N18" s="145" t="s">
        <v>552</v>
      </c>
      <c r="O18" s="145">
        <v>20769</v>
      </c>
      <c r="P18" s="145" t="s">
        <v>1009</v>
      </c>
      <c r="Q18" s="145">
        <v>31505</v>
      </c>
      <c r="R18" s="145" t="s">
        <v>1553</v>
      </c>
      <c r="S18" s="145">
        <v>10759</v>
      </c>
      <c r="T18" s="145" t="s">
        <v>981</v>
      </c>
      <c r="U18" s="145">
        <v>20753</v>
      </c>
      <c r="V18" s="145" t="s">
        <v>1273</v>
      </c>
      <c r="W18" s="149">
        <v>31490</v>
      </c>
      <c r="X18" s="145">
        <v>99.45</v>
      </c>
      <c r="Y18" s="145">
        <v>31384</v>
      </c>
      <c r="Z18" s="145" t="s">
        <v>981</v>
      </c>
      <c r="AA18" s="145">
        <v>15520</v>
      </c>
      <c r="AB18" s="148">
        <v>15369</v>
      </c>
      <c r="AC18" s="99">
        <f t="shared" si="0"/>
        <v>48.805970149253731</v>
      </c>
      <c r="AD18" s="145">
        <v>385</v>
      </c>
      <c r="AE18" s="145">
        <v>194</v>
      </c>
      <c r="AF18" s="145">
        <v>30899</v>
      </c>
      <c r="AG18" s="145" t="s">
        <v>1554</v>
      </c>
      <c r="AH18" s="134">
        <v>3051</v>
      </c>
      <c r="AI18" s="108">
        <v>9.69</v>
      </c>
      <c r="AJ18" s="95">
        <v>1237</v>
      </c>
      <c r="AK18" s="95">
        <v>3.93</v>
      </c>
      <c r="AL18" s="95">
        <v>1605</v>
      </c>
      <c r="AM18" s="95">
        <v>5.09</v>
      </c>
      <c r="AN18" s="95">
        <v>3032</v>
      </c>
      <c r="AO18" s="95">
        <v>9.6199999999999992</v>
      </c>
      <c r="AP18" s="145">
        <v>5663</v>
      </c>
      <c r="AQ18" s="145">
        <v>3346</v>
      </c>
      <c r="AR18" s="145">
        <v>2636</v>
      </c>
      <c r="AS18" s="145">
        <v>78.78</v>
      </c>
      <c r="AT18" s="148">
        <v>3610</v>
      </c>
      <c r="AU18" s="148">
        <v>1615</v>
      </c>
      <c r="AV18" s="148">
        <v>44.74</v>
      </c>
      <c r="AW18" s="145">
        <v>3969</v>
      </c>
      <c r="AX18" s="145">
        <v>1606</v>
      </c>
      <c r="AY18" s="145" t="s">
        <v>1555</v>
      </c>
      <c r="AZ18" s="145">
        <v>1515</v>
      </c>
      <c r="BA18" s="145">
        <v>94.33</v>
      </c>
      <c r="BB18" s="145">
        <v>1600</v>
      </c>
      <c r="BC18" s="145" t="s">
        <v>927</v>
      </c>
      <c r="BD18" s="148">
        <v>1519</v>
      </c>
      <c r="BE18" s="148">
        <v>94.58</v>
      </c>
      <c r="BF18" s="145">
        <v>3639</v>
      </c>
      <c r="BG18" s="145">
        <v>3588</v>
      </c>
      <c r="BH18" s="145" t="s">
        <v>1545</v>
      </c>
      <c r="BI18" s="145">
        <v>34795</v>
      </c>
      <c r="BJ18" s="145">
        <v>34534</v>
      </c>
      <c r="BK18" s="145">
        <v>5562</v>
      </c>
      <c r="BL18" s="145">
        <v>5529</v>
      </c>
      <c r="BM18" s="145" t="s">
        <v>535</v>
      </c>
      <c r="BN18" s="145">
        <v>3280</v>
      </c>
      <c r="BO18" s="145">
        <v>3242</v>
      </c>
      <c r="BP18" s="145">
        <v>33071</v>
      </c>
      <c r="BQ18" s="145">
        <v>32888</v>
      </c>
      <c r="BR18" s="145">
        <v>32223</v>
      </c>
      <c r="BS18" s="145" t="s">
        <v>1528</v>
      </c>
      <c r="BT18" s="145">
        <v>6919</v>
      </c>
      <c r="BU18" s="145">
        <v>6830</v>
      </c>
      <c r="BV18" s="145" t="s">
        <v>1556</v>
      </c>
      <c r="BW18" s="145">
        <v>38633</v>
      </c>
      <c r="BX18" s="145">
        <v>37752</v>
      </c>
      <c r="BY18" s="145" t="s">
        <v>1557</v>
      </c>
      <c r="BZ18" s="145">
        <v>45552</v>
      </c>
      <c r="CA18" s="145">
        <v>44582</v>
      </c>
      <c r="CB18" s="145" t="s">
        <v>1558</v>
      </c>
      <c r="CC18" s="95">
        <v>4384</v>
      </c>
      <c r="CD18" s="95">
        <v>303</v>
      </c>
      <c r="CE18" s="95">
        <v>6.91</v>
      </c>
      <c r="CF18" s="95">
        <v>8389</v>
      </c>
      <c r="CG18" s="95">
        <v>354</v>
      </c>
      <c r="CH18" s="95">
        <v>4.22</v>
      </c>
      <c r="CI18" s="95">
        <v>47613</v>
      </c>
      <c r="CJ18" s="95">
        <v>2876</v>
      </c>
      <c r="CK18" s="95">
        <v>6.04</v>
      </c>
      <c r="CL18" s="145" t="s">
        <v>1441</v>
      </c>
      <c r="CM18" s="145">
        <v>12</v>
      </c>
      <c r="CN18" s="145">
        <v>7</v>
      </c>
      <c r="CO18" s="145" t="s">
        <v>1559</v>
      </c>
      <c r="CP18" s="145">
        <v>44</v>
      </c>
      <c r="CQ18" s="145">
        <v>23</v>
      </c>
      <c r="CR18" s="145" t="s">
        <v>1560</v>
      </c>
      <c r="CS18" s="145">
        <v>107</v>
      </c>
      <c r="CT18" s="145">
        <v>36</v>
      </c>
      <c r="CU18" s="145" t="s">
        <v>1561</v>
      </c>
      <c r="CV18" s="145">
        <v>151</v>
      </c>
      <c r="CW18" s="148">
        <v>59</v>
      </c>
      <c r="CX18" s="148">
        <v>39.07</v>
      </c>
      <c r="CY18" s="109">
        <v>4627</v>
      </c>
      <c r="CZ18" s="95">
        <v>160</v>
      </c>
      <c r="DA18" s="95">
        <v>3.46</v>
      </c>
    </row>
    <row r="19" spans="1:105" x14ac:dyDescent="0.3">
      <c r="A19" s="104">
        <v>13</v>
      </c>
      <c r="B19" s="145" t="s">
        <v>288</v>
      </c>
      <c r="C19" s="145">
        <v>62318</v>
      </c>
      <c r="D19" s="145">
        <v>13203</v>
      </c>
      <c r="E19" s="145">
        <v>26308</v>
      </c>
      <c r="F19" s="145">
        <v>39506</v>
      </c>
      <c r="G19" s="145">
        <v>12557</v>
      </c>
      <c r="H19" s="145" t="s">
        <v>1473</v>
      </c>
      <c r="I19" s="145">
        <v>25287</v>
      </c>
      <c r="J19" s="145" t="s">
        <v>1562</v>
      </c>
      <c r="K19" s="145">
        <v>37844</v>
      </c>
      <c r="L19" s="145">
        <v>95.79</v>
      </c>
      <c r="M19" s="145">
        <v>12556</v>
      </c>
      <c r="N19" s="145" t="s">
        <v>1563</v>
      </c>
      <c r="O19" s="145">
        <v>25288</v>
      </c>
      <c r="P19" s="145" t="s">
        <v>1562</v>
      </c>
      <c r="Q19" s="145">
        <v>37847</v>
      </c>
      <c r="R19" s="145" t="s">
        <v>1564</v>
      </c>
      <c r="S19" s="145">
        <v>12569</v>
      </c>
      <c r="T19" s="145" t="s">
        <v>1565</v>
      </c>
      <c r="U19" s="145">
        <v>25212</v>
      </c>
      <c r="V19" s="145" t="s">
        <v>686</v>
      </c>
      <c r="W19" s="149">
        <v>37781</v>
      </c>
      <c r="X19" s="145">
        <v>95.63</v>
      </c>
      <c r="Y19" s="145">
        <v>39371</v>
      </c>
      <c r="Z19" s="145" t="s">
        <v>872</v>
      </c>
      <c r="AA19" s="145">
        <v>19355</v>
      </c>
      <c r="AB19" s="148">
        <v>16719</v>
      </c>
      <c r="AC19" s="99">
        <f t="shared" si="0"/>
        <v>44.252402001005798</v>
      </c>
      <c r="AD19" s="145">
        <v>1528</v>
      </c>
      <c r="AE19" s="145">
        <v>175</v>
      </c>
      <c r="AF19" s="145">
        <v>36080</v>
      </c>
      <c r="AG19" s="145" t="s">
        <v>1566</v>
      </c>
      <c r="AH19" s="134">
        <v>1997</v>
      </c>
      <c r="AI19" s="108">
        <v>5.29</v>
      </c>
      <c r="AJ19" s="95">
        <v>1199</v>
      </c>
      <c r="AK19" s="95">
        <v>3.17</v>
      </c>
      <c r="AL19" s="95">
        <v>1802</v>
      </c>
      <c r="AM19" s="95">
        <v>4.76</v>
      </c>
      <c r="AN19" s="95">
        <v>3011</v>
      </c>
      <c r="AO19" s="95">
        <v>7.96</v>
      </c>
      <c r="AP19" s="145">
        <v>6169</v>
      </c>
      <c r="AQ19" s="145">
        <v>5507</v>
      </c>
      <c r="AR19" s="145">
        <v>4940</v>
      </c>
      <c r="AS19" s="145">
        <v>89.7</v>
      </c>
      <c r="AT19" s="148">
        <v>4444</v>
      </c>
      <c r="AU19" s="148">
        <v>2192</v>
      </c>
      <c r="AV19" s="148">
        <v>49.32</v>
      </c>
      <c r="AW19" s="145">
        <v>6350</v>
      </c>
      <c r="AX19" s="145">
        <v>4974</v>
      </c>
      <c r="AY19" s="145" t="s">
        <v>1567</v>
      </c>
      <c r="AZ19" s="145">
        <v>4802</v>
      </c>
      <c r="BA19" s="145">
        <v>96.54</v>
      </c>
      <c r="BB19" s="145">
        <v>4929</v>
      </c>
      <c r="BC19" s="145" t="s">
        <v>552</v>
      </c>
      <c r="BD19" s="148">
        <v>4790</v>
      </c>
      <c r="BE19" s="148">
        <v>96.3</v>
      </c>
      <c r="BF19" s="145">
        <v>4412</v>
      </c>
      <c r="BG19" s="145">
        <v>4392</v>
      </c>
      <c r="BH19" s="145" t="s">
        <v>429</v>
      </c>
      <c r="BI19" s="145">
        <v>42074</v>
      </c>
      <c r="BJ19" s="145">
        <v>41923</v>
      </c>
      <c r="BK19" s="145">
        <v>6615</v>
      </c>
      <c r="BL19" s="145">
        <v>6601</v>
      </c>
      <c r="BM19" s="145" t="s">
        <v>412</v>
      </c>
      <c r="BN19" s="145">
        <v>3880</v>
      </c>
      <c r="BO19" s="145">
        <v>3874</v>
      </c>
      <c r="BP19" s="145">
        <v>40391</v>
      </c>
      <c r="BQ19" s="145">
        <v>40377</v>
      </c>
      <c r="BR19" s="145">
        <v>39033</v>
      </c>
      <c r="BS19" s="145" t="s">
        <v>1221</v>
      </c>
      <c r="BT19" s="145">
        <v>8292</v>
      </c>
      <c r="BU19" s="145">
        <v>8266</v>
      </c>
      <c r="BV19" s="145" t="s">
        <v>1568</v>
      </c>
      <c r="BW19" s="145">
        <v>47006</v>
      </c>
      <c r="BX19" s="145">
        <v>45634</v>
      </c>
      <c r="BY19" s="145" t="s">
        <v>1569</v>
      </c>
      <c r="BZ19" s="145">
        <v>55298</v>
      </c>
      <c r="CA19" s="145">
        <v>53900</v>
      </c>
      <c r="CB19" s="145" t="s">
        <v>1570</v>
      </c>
      <c r="CC19" s="95">
        <v>5808</v>
      </c>
      <c r="CD19" s="95">
        <v>373</v>
      </c>
      <c r="CE19" s="95">
        <v>6.42</v>
      </c>
      <c r="CF19" s="95">
        <v>11137</v>
      </c>
      <c r="CG19" s="95">
        <v>762</v>
      </c>
      <c r="CH19" s="95">
        <v>6.84</v>
      </c>
      <c r="CI19" s="95">
        <v>67100</v>
      </c>
      <c r="CJ19" s="95">
        <v>3228</v>
      </c>
      <c r="CK19" s="95">
        <v>4.8099999999999996</v>
      </c>
      <c r="CL19" s="145" t="s">
        <v>1441</v>
      </c>
      <c r="CM19" s="145">
        <v>2</v>
      </c>
      <c r="CN19" s="145">
        <v>0</v>
      </c>
      <c r="CO19" s="145">
        <v>0</v>
      </c>
      <c r="CP19" s="145">
        <v>7</v>
      </c>
      <c r="CQ19" s="145">
        <v>2</v>
      </c>
      <c r="CR19" s="145" t="s">
        <v>311</v>
      </c>
      <c r="CS19" s="145">
        <v>7</v>
      </c>
      <c r="CT19" s="145">
        <v>5</v>
      </c>
      <c r="CU19" s="145" t="s">
        <v>1571</v>
      </c>
      <c r="CV19" s="145">
        <v>14</v>
      </c>
      <c r="CW19" s="148">
        <v>7</v>
      </c>
      <c r="CX19" s="148">
        <v>50</v>
      </c>
      <c r="CY19" s="109">
        <v>2488</v>
      </c>
      <c r="CZ19" s="95">
        <v>195</v>
      </c>
      <c r="DA19" s="95">
        <v>7.84</v>
      </c>
    </row>
    <row r="20" spans="1:105" x14ac:dyDescent="0.3">
      <c r="A20" s="104">
        <v>14</v>
      </c>
      <c r="B20" s="145" t="s">
        <v>289</v>
      </c>
      <c r="C20" s="145">
        <v>70384</v>
      </c>
      <c r="D20" s="145">
        <v>12878</v>
      </c>
      <c r="E20" s="145">
        <v>23858</v>
      </c>
      <c r="F20" s="145">
        <v>36736</v>
      </c>
      <c r="G20" s="145">
        <v>12028</v>
      </c>
      <c r="H20" s="145" t="s">
        <v>1572</v>
      </c>
      <c r="I20" s="145">
        <v>22300</v>
      </c>
      <c r="J20" s="145" t="s">
        <v>1573</v>
      </c>
      <c r="K20" s="145">
        <v>34322</v>
      </c>
      <c r="L20" s="145">
        <v>93.43</v>
      </c>
      <c r="M20" s="145">
        <v>11986</v>
      </c>
      <c r="N20" s="145" t="s">
        <v>1574</v>
      </c>
      <c r="O20" s="145">
        <v>22312</v>
      </c>
      <c r="P20" s="145" t="s">
        <v>1575</v>
      </c>
      <c r="Q20" s="145">
        <v>34292</v>
      </c>
      <c r="R20" s="145" t="s">
        <v>1576</v>
      </c>
      <c r="S20" s="145">
        <v>12038</v>
      </c>
      <c r="T20" s="145" t="s">
        <v>1577</v>
      </c>
      <c r="U20" s="145">
        <v>22295</v>
      </c>
      <c r="V20" s="145" t="s">
        <v>1578</v>
      </c>
      <c r="W20" s="149">
        <v>34328</v>
      </c>
      <c r="X20" s="145">
        <v>93.45</v>
      </c>
      <c r="Y20" s="145">
        <v>36508</v>
      </c>
      <c r="Z20" s="145" t="s">
        <v>1500</v>
      </c>
      <c r="AA20" s="145">
        <v>17378</v>
      </c>
      <c r="AB20" s="148">
        <v>15077</v>
      </c>
      <c r="AC20" s="99">
        <f t="shared" si="0"/>
        <v>43.920414821719881</v>
      </c>
      <c r="AD20" s="145">
        <v>1517</v>
      </c>
      <c r="AE20" s="145">
        <v>305</v>
      </c>
      <c r="AF20" s="145">
        <v>32450</v>
      </c>
      <c r="AG20" s="145" t="s">
        <v>1579</v>
      </c>
      <c r="AH20" s="134">
        <v>3900</v>
      </c>
      <c r="AI20" s="108">
        <v>11.36</v>
      </c>
      <c r="AJ20" s="95">
        <v>1792</v>
      </c>
      <c r="AK20" s="95">
        <v>5.23</v>
      </c>
      <c r="AL20" s="95">
        <v>1596</v>
      </c>
      <c r="AM20" s="95">
        <v>4.6500000000000004</v>
      </c>
      <c r="AN20" s="95">
        <v>3566</v>
      </c>
      <c r="AO20" s="95">
        <v>10.39</v>
      </c>
      <c r="AP20" s="145">
        <v>7355</v>
      </c>
      <c r="AQ20" s="145">
        <v>1859</v>
      </c>
      <c r="AR20" s="145">
        <v>1767</v>
      </c>
      <c r="AS20" s="145">
        <v>95.05</v>
      </c>
      <c r="AT20" s="148">
        <v>4369</v>
      </c>
      <c r="AU20" s="148">
        <v>892</v>
      </c>
      <c r="AV20" s="148">
        <v>20.420000000000002</v>
      </c>
      <c r="AW20" s="145">
        <v>4818</v>
      </c>
      <c r="AX20" s="145">
        <v>1767</v>
      </c>
      <c r="AY20" s="145" t="s">
        <v>1580</v>
      </c>
      <c r="AZ20" s="145">
        <v>1671</v>
      </c>
      <c r="BA20" s="145">
        <v>94.57</v>
      </c>
      <c r="BB20" s="145">
        <v>1728</v>
      </c>
      <c r="BC20" s="145" t="s">
        <v>1581</v>
      </c>
      <c r="BD20" s="148">
        <v>1647</v>
      </c>
      <c r="BE20" s="148">
        <v>93.21</v>
      </c>
      <c r="BF20" s="145">
        <v>4343</v>
      </c>
      <c r="BG20" s="145">
        <v>3228</v>
      </c>
      <c r="BH20" s="145" t="s">
        <v>1582</v>
      </c>
      <c r="BI20" s="145">
        <v>40228</v>
      </c>
      <c r="BJ20" s="145">
        <v>31348</v>
      </c>
      <c r="BK20" s="145">
        <v>5582</v>
      </c>
      <c r="BL20" s="145">
        <v>4328</v>
      </c>
      <c r="BM20" s="145" t="s">
        <v>1583</v>
      </c>
      <c r="BN20" s="145">
        <v>3981</v>
      </c>
      <c r="BO20" s="145">
        <v>3816</v>
      </c>
      <c r="BP20" s="145">
        <v>39575</v>
      </c>
      <c r="BQ20" s="145">
        <v>38688</v>
      </c>
      <c r="BR20" s="145">
        <v>38136</v>
      </c>
      <c r="BS20" s="145" t="s">
        <v>417</v>
      </c>
      <c r="BT20" s="145">
        <v>8324</v>
      </c>
      <c r="BU20" s="145">
        <v>7044</v>
      </c>
      <c r="BV20" s="145" t="s">
        <v>1584</v>
      </c>
      <c r="BW20" s="145">
        <v>45157</v>
      </c>
      <c r="BX20" s="145">
        <v>42464</v>
      </c>
      <c r="BY20" s="145" t="s">
        <v>1585</v>
      </c>
      <c r="BZ20" s="145">
        <v>53481</v>
      </c>
      <c r="CA20" s="145">
        <v>49508</v>
      </c>
      <c r="CB20" s="145" t="s">
        <v>640</v>
      </c>
      <c r="CC20" s="95">
        <v>2833</v>
      </c>
      <c r="CD20" s="95">
        <v>231</v>
      </c>
      <c r="CE20" s="95">
        <v>8.15</v>
      </c>
      <c r="CF20" s="95">
        <v>3719</v>
      </c>
      <c r="CG20" s="95">
        <v>305</v>
      </c>
      <c r="CH20" s="95">
        <v>8.1999999999999993</v>
      </c>
      <c r="CI20" s="95">
        <v>18193</v>
      </c>
      <c r="CJ20" s="95">
        <v>1082</v>
      </c>
      <c r="CK20" s="95">
        <v>5.95</v>
      </c>
      <c r="CL20" s="145" t="s">
        <v>1441</v>
      </c>
      <c r="CM20" s="145">
        <v>6</v>
      </c>
      <c r="CN20" s="145">
        <v>0</v>
      </c>
      <c r="CO20" s="145">
        <v>0</v>
      </c>
      <c r="CP20" s="145">
        <v>8</v>
      </c>
      <c r="CQ20" s="145">
        <v>2</v>
      </c>
      <c r="CR20" s="145">
        <v>25</v>
      </c>
      <c r="CS20" s="145">
        <v>21</v>
      </c>
      <c r="CT20" s="145">
        <v>1</v>
      </c>
      <c r="CU20" s="145" t="s">
        <v>1586</v>
      </c>
      <c r="CV20" s="145">
        <v>29</v>
      </c>
      <c r="CW20" s="148">
        <v>3</v>
      </c>
      <c r="CX20" s="148">
        <v>10.34</v>
      </c>
      <c r="CY20" s="109">
        <v>2256</v>
      </c>
      <c r="CZ20" s="95">
        <v>317</v>
      </c>
      <c r="DA20" s="95">
        <v>14.05</v>
      </c>
    </row>
    <row r="21" spans="1:105" x14ac:dyDescent="0.3">
      <c r="A21" s="104">
        <v>15</v>
      </c>
      <c r="B21" s="145" t="s">
        <v>290</v>
      </c>
      <c r="C21" s="145">
        <v>99900</v>
      </c>
      <c r="D21" s="145">
        <v>18533</v>
      </c>
      <c r="E21" s="145">
        <v>41232</v>
      </c>
      <c r="F21" s="145">
        <v>59762</v>
      </c>
      <c r="G21" s="145">
        <v>17159</v>
      </c>
      <c r="H21" s="145" t="s">
        <v>1587</v>
      </c>
      <c r="I21" s="145">
        <v>39026</v>
      </c>
      <c r="J21" s="145" t="s">
        <v>479</v>
      </c>
      <c r="K21" s="145">
        <v>56180</v>
      </c>
      <c r="L21" s="145">
        <v>94.01</v>
      </c>
      <c r="M21" s="145">
        <v>17158</v>
      </c>
      <c r="N21" s="145" t="s">
        <v>1588</v>
      </c>
      <c r="O21" s="145">
        <v>39047</v>
      </c>
      <c r="P21" s="145" t="s">
        <v>382</v>
      </c>
      <c r="Q21" s="145">
        <v>56202</v>
      </c>
      <c r="R21" s="145" t="s">
        <v>1585</v>
      </c>
      <c r="S21" s="145">
        <v>17132</v>
      </c>
      <c r="T21" s="145" t="s">
        <v>519</v>
      </c>
      <c r="U21" s="145">
        <v>39023</v>
      </c>
      <c r="V21" s="145" t="s">
        <v>1589</v>
      </c>
      <c r="W21" s="149">
        <v>56151</v>
      </c>
      <c r="X21" s="145">
        <v>93.96</v>
      </c>
      <c r="Y21" s="145">
        <v>58360</v>
      </c>
      <c r="Z21" s="145" t="s">
        <v>1590</v>
      </c>
      <c r="AA21" s="145">
        <v>29315</v>
      </c>
      <c r="AB21" s="148">
        <v>24520</v>
      </c>
      <c r="AC21" s="99">
        <f t="shared" si="0"/>
        <v>43.667966732560416</v>
      </c>
      <c r="AD21" s="145">
        <v>2133</v>
      </c>
      <c r="AE21" s="145">
        <v>216</v>
      </c>
      <c r="AF21" s="145">
        <v>53821</v>
      </c>
      <c r="AG21" s="145" t="s">
        <v>1591</v>
      </c>
      <c r="AH21" s="134">
        <v>5142</v>
      </c>
      <c r="AI21" s="108">
        <v>9.16</v>
      </c>
      <c r="AJ21" s="95">
        <v>3332</v>
      </c>
      <c r="AK21" s="95">
        <v>5.93</v>
      </c>
      <c r="AL21" s="95">
        <v>1713</v>
      </c>
      <c r="AM21" s="95">
        <v>3.05</v>
      </c>
      <c r="AN21" s="95">
        <v>5972</v>
      </c>
      <c r="AO21" s="95">
        <v>10.63</v>
      </c>
      <c r="AP21" s="145">
        <v>8819</v>
      </c>
      <c r="AQ21" s="145">
        <v>3881</v>
      </c>
      <c r="AR21" s="145">
        <v>3028</v>
      </c>
      <c r="AS21" s="145">
        <v>78.02</v>
      </c>
      <c r="AT21" s="148">
        <v>5724</v>
      </c>
      <c r="AU21" s="148">
        <v>1565</v>
      </c>
      <c r="AV21" s="148">
        <v>27.34</v>
      </c>
      <c r="AW21" s="145">
        <v>7002</v>
      </c>
      <c r="AX21" s="145">
        <v>4636</v>
      </c>
      <c r="AY21" s="145" t="s">
        <v>1592</v>
      </c>
      <c r="AZ21" s="145">
        <v>4346</v>
      </c>
      <c r="BA21" s="145">
        <v>93.74</v>
      </c>
      <c r="BB21" s="145">
        <v>4456</v>
      </c>
      <c r="BC21" s="145" t="s">
        <v>1562</v>
      </c>
      <c r="BD21" s="148">
        <v>4285</v>
      </c>
      <c r="BE21" s="148">
        <v>92.43</v>
      </c>
      <c r="BF21" s="145">
        <v>6120</v>
      </c>
      <c r="BG21" s="145">
        <v>5149</v>
      </c>
      <c r="BH21" s="145" t="s">
        <v>1593</v>
      </c>
      <c r="BI21" s="145">
        <v>67620</v>
      </c>
      <c r="BJ21" s="145">
        <v>59345</v>
      </c>
      <c r="BK21" s="145">
        <v>10326</v>
      </c>
      <c r="BL21" s="145">
        <v>8633</v>
      </c>
      <c r="BM21" s="145" t="s">
        <v>1594</v>
      </c>
      <c r="BN21" s="145">
        <v>5585</v>
      </c>
      <c r="BO21" s="145">
        <v>4916</v>
      </c>
      <c r="BP21" s="145">
        <v>64202</v>
      </c>
      <c r="BQ21" s="145">
        <v>57707</v>
      </c>
      <c r="BR21" s="145">
        <v>49457</v>
      </c>
      <c r="BS21" s="145" t="s">
        <v>1595</v>
      </c>
      <c r="BT21" s="145">
        <v>11705</v>
      </c>
      <c r="BU21" s="145">
        <v>10065</v>
      </c>
      <c r="BV21" s="145" t="s">
        <v>1596</v>
      </c>
      <c r="BW21" s="145">
        <v>74528</v>
      </c>
      <c r="BX21" s="145">
        <v>58090</v>
      </c>
      <c r="BY21" s="145" t="s">
        <v>1597</v>
      </c>
      <c r="BZ21" s="145">
        <v>86233</v>
      </c>
      <c r="CA21" s="145">
        <v>68155</v>
      </c>
      <c r="CB21" s="145" t="s">
        <v>1598</v>
      </c>
      <c r="CC21" s="95">
        <v>12536</v>
      </c>
      <c r="CD21" s="95">
        <v>487</v>
      </c>
      <c r="CE21" s="95">
        <v>3.88</v>
      </c>
      <c r="CF21" s="95">
        <v>13808</v>
      </c>
      <c r="CG21" s="95">
        <v>1859</v>
      </c>
      <c r="CH21" s="95">
        <v>13.46</v>
      </c>
      <c r="CI21" s="95">
        <v>65858</v>
      </c>
      <c r="CJ21" s="95">
        <v>29</v>
      </c>
      <c r="CK21" s="95">
        <v>0.04</v>
      </c>
      <c r="CL21" s="145" t="s">
        <v>1441</v>
      </c>
      <c r="CM21" s="145">
        <v>9</v>
      </c>
      <c r="CN21" s="145">
        <v>5</v>
      </c>
      <c r="CO21" s="145" t="s">
        <v>1599</v>
      </c>
      <c r="CP21" s="145">
        <v>102</v>
      </c>
      <c r="CQ21" s="145">
        <v>24</v>
      </c>
      <c r="CR21" s="145" t="s">
        <v>1600</v>
      </c>
      <c r="CS21" s="145">
        <v>174</v>
      </c>
      <c r="CT21" s="145">
        <v>33</v>
      </c>
      <c r="CU21" s="145" t="s">
        <v>1601</v>
      </c>
      <c r="CV21" s="145">
        <v>276</v>
      </c>
      <c r="CW21" s="148">
        <v>57</v>
      </c>
      <c r="CX21" s="148">
        <v>20.65</v>
      </c>
      <c r="CY21" s="109">
        <v>10369</v>
      </c>
      <c r="CZ21" s="95">
        <v>442</v>
      </c>
      <c r="DA21" s="95">
        <v>4.26</v>
      </c>
    </row>
    <row r="22" spans="1:105" x14ac:dyDescent="0.3">
      <c r="A22" s="104">
        <v>16</v>
      </c>
      <c r="B22" s="145" t="s">
        <v>291</v>
      </c>
      <c r="C22" s="145">
        <v>64675</v>
      </c>
      <c r="D22" s="145">
        <v>12451</v>
      </c>
      <c r="E22" s="145">
        <v>22132</v>
      </c>
      <c r="F22" s="145">
        <v>34599</v>
      </c>
      <c r="G22" s="145">
        <v>12307</v>
      </c>
      <c r="H22" s="145" t="s">
        <v>391</v>
      </c>
      <c r="I22" s="145">
        <v>21923</v>
      </c>
      <c r="J22" s="145" t="s">
        <v>432</v>
      </c>
      <c r="K22" s="145">
        <v>34227</v>
      </c>
      <c r="L22" s="145">
        <v>98.92</v>
      </c>
      <c r="M22" s="145">
        <v>12300</v>
      </c>
      <c r="N22" s="145" t="s">
        <v>1602</v>
      </c>
      <c r="O22" s="145">
        <v>21948</v>
      </c>
      <c r="P22" s="145" t="s">
        <v>1603</v>
      </c>
      <c r="Q22" s="145">
        <v>34247</v>
      </c>
      <c r="R22" s="145" t="s">
        <v>1604</v>
      </c>
      <c r="S22" s="145">
        <v>12308</v>
      </c>
      <c r="T22" s="145" t="s">
        <v>1491</v>
      </c>
      <c r="U22" s="145">
        <v>21956</v>
      </c>
      <c r="V22" s="145" t="s">
        <v>1605</v>
      </c>
      <c r="W22" s="149">
        <v>34266</v>
      </c>
      <c r="X22" s="145">
        <v>99.04</v>
      </c>
      <c r="Y22" s="145">
        <v>33969</v>
      </c>
      <c r="Z22" s="145" t="s">
        <v>996</v>
      </c>
      <c r="AA22" s="145">
        <v>17531</v>
      </c>
      <c r="AB22" s="148">
        <v>15692</v>
      </c>
      <c r="AC22" s="99">
        <f t="shared" si="0"/>
        <v>45.794665265861198</v>
      </c>
      <c r="AD22" s="145">
        <v>596</v>
      </c>
      <c r="AE22" s="145">
        <v>423</v>
      </c>
      <c r="AF22" s="145">
        <v>33222</v>
      </c>
      <c r="AG22" s="145" t="s">
        <v>1606</v>
      </c>
      <c r="AH22" s="134">
        <v>2292</v>
      </c>
      <c r="AI22" s="108">
        <v>6.69</v>
      </c>
      <c r="AJ22" s="95">
        <v>2374</v>
      </c>
      <c r="AK22" s="95">
        <v>6.93</v>
      </c>
      <c r="AL22" s="95">
        <v>1413</v>
      </c>
      <c r="AM22" s="95">
        <v>4.13</v>
      </c>
      <c r="AN22" s="95">
        <v>4564</v>
      </c>
      <c r="AO22" s="95">
        <v>13.33</v>
      </c>
      <c r="AP22" s="145">
        <v>7163</v>
      </c>
      <c r="AQ22" s="145">
        <v>5267</v>
      </c>
      <c r="AR22" s="145">
        <v>4556</v>
      </c>
      <c r="AS22" s="145">
        <v>86.5</v>
      </c>
      <c r="AT22" s="148">
        <v>3991</v>
      </c>
      <c r="AU22" s="148">
        <v>2172</v>
      </c>
      <c r="AV22" s="148">
        <v>54.42</v>
      </c>
      <c r="AW22" s="145">
        <v>4437</v>
      </c>
      <c r="AX22" s="145">
        <v>3237</v>
      </c>
      <c r="AY22" s="145" t="s">
        <v>1607</v>
      </c>
      <c r="AZ22" s="145">
        <v>3057</v>
      </c>
      <c r="BA22" s="145">
        <v>94.44</v>
      </c>
      <c r="BB22" s="145">
        <v>3159</v>
      </c>
      <c r="BC22" s="145" t="s">
        <v>1019</v>
      </c>
      <c r="BD22" s="148">
        <v>3037</v>
      </c>
      <c r="BE22" s="148">
        <v>93.82</v>
      </c>
      <c r="BF22" s="145">
        <v>4047</v>
      </c>
      <c r="BG22" s="145">
        <v>3986</v>
      </c>
      <c r="BH22" s="145" t="s">
        <v>1608</v>
      </c>
      <c r="BI22" s="145">
        <v>35263</v>
      </c>
      <c r="BJ22" s="145">
        <v>35012</v>
      </c>
      <c r="BK22" s="145">
        <v>4684</v>
      </c>
      <c r="BL22" s="145">
        <v>4652</v>
      </c>
      <c r="BM22" s="145" t="s">
        <v>1237</v>
      </c>
      <c r="BN22" s="145">
        <v>3412</v>
      </c>
      <c r="BO22" s="145">
        <v>3390</v>
      </c>
      <c r="BP22" s="145">
        <v>35395</v>
      </c>
      <c r="BQ22" s="145">
        <v>35156</v>
      </c>
      <c r="BR22" s="145">
        <v>33416</v>
      </c>
      <c r="BS22" s="145" t="s">
        <v>1237</v>
      </c>
      <c r="BT22" s="145">
        <v>7459</v>
      </c>
      <c r="BU22" s="145">
        <v>7376</v>
      </c>
      <c r="BV22" s="145" t="s">
        <v>901</v>
      </c>
      <c r="BW22" s="145">
        <v>40079</v>
      </c>
      <c r="BX22" s="145">
        <v>38068</v>
      </c>
      <c r="BY22" s="145" t="s">
        <v>1609</v>
      </c>
      <c r="BZ22" s="145">
        <v>47538</v>
      </c>
      <c r="CA22" s="145">
        <v>45444</v>
      </c>
      <c r="CB22" s="145" t="s">
        <v>1610</v>
      </c>
      <c r="CC22" s="95">
        <v>17442</v>
      </c>
      <c r="CD22" s="95">
        <v>1897</v>
      </c>
      <c r="CE22" s="95">
        <v>10.88</v>
      </c>
      <c r="CF22" s="95">
        <v>20549</v>
      </c>
      <c r="CG22" s="95">
        <v>1355</v>
      </c>
      <c r="CH22" s="95">
        <v>6.59</v>
      </c>
      <c r="CI22" s="95">
        <v>81308</v>
      </c>
      <c r="CJ22" s="95">
        <v>1787</v>
      </c>
      <c r="CK22" s="95">
        <v>2.2000000000000002</v>
      </c>
      <c r="CL22" s="145" t="s">
        <v>1441</v>
      </c>
      <c r="CM22" s="145">
        <v>4</v>
      </c>
      <c r="CN22" s="145">
        <v>0</v>
      </c>
      <c r="CO22" s="145">
        <v>0</v>
      </c>
      <c r="CP22" s="145">
        <v>21</v>
      </c>
      <c r="CQ22" s="145">
        <v>12</v>
      </c>
      <c r="CR22" s="145" t="s">
        <v>297</v>
      </c>
      <c r="CS22" s="145">
        <v>66</v>
      </c>
      <c r="CT22" s="145">
        <v>16</v>
      </c>
      <c r="CU22" s="145" t="s">
        <v>1141</v>
      </c>
      <c r="CV22" s="145">
        <v>87</v>
      </c>
      <c r="CW22" s="148">
        <v>28</v>
      </c>
      <c r="CX22" s="148">
        <v>32.18</v>
      </c>
      <c r="CY22" s="109">
        <v>4472</v>
      </c>
      <c r="CZ22" s="95">
        <v>107</v>
      </c>
      <c r="DA22" s="95">
        <v>2.39</v>
      </c>
    </row>
    <row r="23" spans="1:105" x14ac:dyDescent="0.3">
      <c r="A23" s="104">
        <v>17</v>
      </c>
      <c r="B23" s="145" t="s">
        <v>292</v>
      </c>
      <c r="C23" s="145">
        <v>48665</v>
      </c>
      <c r="D23" s="145">
        <v>10596</v>
      </c>
      <c r="E23" s="145">
        <v>18838</v>
      </c>
      <c r="F23" s="145">
        <v>29435</v>
      </c>
      <c r="G23" s="145">
        <v>9494</v>
      </c>
      <c r="H23" s="145" t="s">
        <v>1611</v>
      </c>
      <c r="I23" s="145">
        <v>17043</v>
      </c>
      <c r="J23" s="145" t="s">
        <v>1612</v>
      </c>
      <c r="K23" s="145">
        <v>26548</v>
      </c>
      <c r="L23" s="145">
        <v>90.19</v>
      </c>
      <c r="M23" s="145">
        <v>9484</v>
      </c>
      <c r="N23" s="145" t="s">
        <v>1613</v>
      </c>
      <c r="O23" s="145">
        <v>17021</v>
      </c>
      <c r="P23" s="145" t="s">
        <v>1614</v>
      </c>
      <c r="Q23" s="145">
        <v>26513</v>
      </c>
      <c r="R23" s="145" t="s">
        <v>1615</v>
      </c>
      <c r="S23" s="145">
        <v>9483</v>
      </c>
      <c r="T23" s="145" t="s">
        <v>1616</v>
      </c>
      <c r="U23" s="145">
        <v>17028</v>
      </c>
      <c r="V23" s="145" t="s">
        <v>1617</v>
      </c>
      <c r="W23" s="149">
        <v>26518</v>
      </c>
      <c r="X23" s="145">
        <v>90.09</v>
      </c>
      <c r="Y23" s="145">
        <v>28888</v>
      </c>
      <c r="Z23" s="145" t="s">
        <v>1618</v>
      </c>
      <c r="AA23" s="145">
        <v>12534</v>
      </c>
      <c r="AB23" s="148">
        <v>11672</v>
      </c>
      <c r="AC23" s="99">
        <f t="shared" si="0"/>
        <v>44.015385775699521</v>
      </c>
      <c r="AD23" s="145">
        <v>1949</v>
      </c>
      <c r="AE23" s="145">
        <v>371</v>
      </c>
      <c r="AF23" s="145">
        <v>24213</v>
      </c>
      <c r="AG23" s="145" t="s">
        <v>1619</v>
      </c>
      <c r="AH23" s="134">
        <v>3550</v>
      </c>
      <c r="AI23" s="108">
        <v>13.39</v>
      </c>
      <c r="AJ23" s="95">
        <v>1650</v>
      </c>
      <c r="AK23" s="95">
        <v>6.22</v>
      </c>
      <c r="AL23" s="95">
        <v>847</v>
      </c>
      <c r="AM23" s="95">
        <v>3.19</v>
      </c>
      <c r="AN23" s="95">
        <v>3592</v>
      </c>
      <c r="AO23" s="95">
        <v>13.53</v>
      </c>
      <c r="AP23" s="145">
        <v>6419</v>
      </c>
      <c r="AQ23" s="145">
        <v>4675</v>
      </c>
      <c r="AR23" s="145">
        <v>4292</v>
      </c>
      <c r="AS23" s="145">
        <v>91.81</v>
      </c>
      <c r="AT23" s="148">
        <v>3574</v>
      </c>
      <c r="AU23" s="148">
        <v>2808</v>
      </c>
      <c r="AV23" s="148">
        <v>78.569999999999993</v>
      </c>
      <c r="AW23" s="145">
        <v>3674</v>
      </c>
      <c r="AX23" s="145">
        <v>2967</v>
      </c>
      <c r="AY23" s="145" t="s">
        <v>1620</v>
      </c>
      <c r="AZ23" s="145">
        <v>2759</v>
      </c>
      <c r="BA23" s="145">
        <v>92.99</v>
      </c>
      <c r="BB23" s="145">
        <v>2884</v>
      </c>
      <c r="BC23" s="145" t="s">
        <v>1234</v>
      </c>
      <c r="BD23" s="148">
        <v>2731</v>
      </c>
      <c r="BE23" s="148">
        <v>92.05</v>
      </c>
      <c r="BF23" s="145">
        <v>3585</v>
      </c>
      <c r="BG23" s="145">
        <v>3583</v>
      </c>
      <c r="BH23" s="145" t="s">
        <v>390</v>
      </c>
      <c r="BI23" s="145">
        <v>31042</v>
      </c>
      <c r="BJ23" s="145">
        <v>31005</v>
      </c>
      <c r="BK23" s="145">
        <v>4390</v>
      </c>
      <c r="BL23" s="145">
        <v>4388</v>
      </c>
      <c r="BM23" s="145" t="s">
        <v>1465</v>
      </c>
      <c r="BN23" s="145">
        <v>3121</v>
      </c>
      <c r="BO23" s="145">
        <v>3121</v>
      </c>
      <c r="BP23" s="145">
        <v>30143</v>
      </c>
      <c r="BQ23" s="145">
        <v>29928</v>
      </c>
      <c r="BR23" s="145">
        <v>29700</v>
      </c>
      <c r="BS23" s="145" t="s">
        <v>1621</v>
      </c>
      <c r="BT23" s="145">
        <v>6706</v>
      </c>
      <c r="BU23" s="145">
        <v>6704</v>
      </c>
      <c r="BV23" s="145" t="s">
        <v>1221</v>
      </c>
      <c r="BW23" s="145">
        <v>34533</v>
      </c>
      <c r="BX23" s="145">
        <v>34088</v>
      </c>
      <c r="BY23" s="145" t="s">
        <v>1556</v>
      </c>
      <c r="BZ23" s="145">
        <v>41239</v>
      </c>
      <c r="CA23" s="145">
        <v>40792</v>
      </c>
      <c r="CB23" s="145" t="s">
        <v>1622</v>
      </c>
      <c r="CC23" s="95">
        <v>10886</v>
      </c>
      <c r="CD23" s="95">
        <v>1080</v>
      </c>
      <c r="CE23" s="95">
        <v>9.92</v>
      </c>
      <c r="CF23" s="95">
        <v>17002</v>
      </c>
      <c r="CG23" s="95">
        <v>787</v>
      </c>
      <c r="CH23" s="95">
        <v>4.63</v>
      </c>
      <c r="CI23" s="95">
        <v>59463</v>
      </c>
      <c r="CJ23" s="95">
        <v>2929</v>
      </c>
      <c r="CK23" s="95">
        <v>4.93</v>
      </c>
      <c r="CL23" s="145" t="s">
        <v>1441</v>
      </c>
      <c r="CM23" s="145">
        <v>46</v>
      </c>
      <c r="CN23" s="145">
        <v>8</v>
      </c>
      <c r="CO23" s="145" t="s">
        <v>1623</v>
      </c>
      <c r="CP23" s="145">
        <v>234</v>
      </c>
      <c r="CQ23" s="145">
        <v>43</v>
      </c>
      <c r="CR23" s="145" t="s">
        <v>1624</v>
      </c>
      <c r="CS23" s="145">
        <v>467</v>
      </c>
      <c r="CT23" s="145">
        <v>103</v>
      </c>
      <c r="CU23" s="145" t="s">
        <v>1625</v>
      </c>
      <c r="CV23" s="145">
        <v>701</v>
      </c>
      <c r="CW23" s="148">
        <v>146</v>
      </c>
      <c r="CX23" s="148">
        <v>20.83</v>
      </c>
      <c r="CY23" s="109">
        <v>15012</v>
      </c>
      <c r="CZ23" s="95">
        <v>534</v>
      </c>
      <c r="DA23" s="95">
        <v>3.56</v>
      </c>
    </row>
    <row r="24" spans="1:105" x14ac:dyDescent="0.3">
      <c r="A24" s="104">
        <v>18</v>
      </c>
      <c r="B24" s="145" t="s">
        <v>294</v>
      </c>
      <c r="C24" s="145">
        <v>77167</v>
      </c>
      <c r="D24" s="145">
        <v>18837</v>
      </c>
      <c r="E24" s="145">
        <v>35424</v>
      </c>
      <c r="F24" s="145">
        <v>54269</v>
      </c>
      <c r="G24" s="145">
        <v>17449</v>
      </c>
      <c r="H24" s="145" t="s">
        <v>1626</v>
      </c>
      <c r="I24" s="145">
        <v>32946</v>
      </c>
      <c r="J24" s="145">
        <v>93</v>
      </c>
      <c r="K24" s="145">
        <v>50426</v>
      </c>
      <c r="L24" s="145">
        <v>92.92</v>
      </c>
      <c r="M24" s="145">
        <v>17441</v>
      </c>
      <c r="N24" s="145" t="s">
        <v>1587</v>
      </c>
      <c r="O24" s="145">
        <v>32913</v>
      </c>
      <c r="P24" s="145" t="s">
        <v>1627</v>
      </c>
      <c r="Q24" s="145">
        <v>50385</v>
      </c>
      <c r="R24" s="145" t="s">
        <v>1628</v>
      </c>
      <c r="S24" s="145">
        <v>17434</v>
      </c>
      <c r="T24" s="145" t="s">
        <v>1629</v>
      </c>
      <c r="U24" s="145">
        <v>32911</v>
      </c>
      <c r="V24" s="145" t="s">
        <v>1627</v>
      </c>
      <c r="W24" s="149">
        <v>50374</v>
      </c>
      <c r="X24" s="145">
        <v>92.82</v>
      </c>
      <c r="Y24" s="145">
        <v>53978</v>
      </c>
      <c r="Z24" s="145" t="s">
        <v>1064</v>
      </c>
      <c r="AA24" s="145">
        <v>25021</v>
      </c>
      <c r="AB24" s="148">
        <v>21753</v>
      </c>
      <c r="AC24" s="99">
        <f t="shared" si="0"/>
        <v>43.182991225632271</v>
      </c>
      <c r="AD24" s="145">
        <v>3053</v>
      </c>
      <c r="AE24" s="145">
        <v>537</v>
      </c>
      <c r="AF24" s="145">
        <v>46769</v>
      </c>
      <c r="AG24" s="145" t="s">
        <v>1630</v>
      </c>
      <c r="AH24" s="134">
        <v>4032</v>
      </c>
      <c r="AI24" s="108">
        <v>8</v>
      </c>
      <c r="AJ24" s="95">
        <v>2590</v>
      </c>
      <c r="AK24" s="95">
        <v>5.14</v>
      </c>
      <c r="AL24" s="95">
        <v>2023</v>
      </c>
      <c r="AM24" s="95">
        <v>4.0199999999999996</v>
      </c>
      <c r="AN24" s="95">
        <v>5012</v>
      </c>
      <c r="AO24" s="95">
        <v>9.94</v>
      </c>
      <c r="AP24" s="145">
        <v>10235</v>
      </c>
      <c r="AQ24" s="145">
        <v>7059</v>
      </c>
      <c r="AR24" s="145">
        <v>6198</v>
      </c>
      <c r="AS24" s="145">
        <v>87.8</v>
      </c>
      <c r="AT24" s="148">
        <v>5928</v>
      </c>
      <c r="AU24" s="148">
        <v>3322</v>
      </c>
      <c r="AV24" s="148">
        <v>56.04</v>
      </c>
      <c r="AW24" s="145">
        <v>6947</v>
      </c>
      <c r="AX24" s="145">
        <v>5905</v>
      </c>
      <c r="AY24" s="145">
        <v>85</v>
      </c>
      <c r="AZ24" s="145">
        <v>5653</v>
      </c>
      <c r="BA24" s="145">
        <v>95.73</v>
      </c>
      <c r="BB24" s="145">
        <v>5753</v>
      </c>
      <c r="BC24" s="145" t="s">
        <v>1631</v>
      </c>
      <c r="BD24" s="148">
        <v>5635</v>
      </c>
      <c r="BE24" s="148">
        <v>95.43</v>
      </c>
      <c r="BF24" s="145">
        <v>6597</v>
      </c>
      <c r="BG24" s="145">
        <v>6492</v>
      </c>
      <c r="BH24" s="145" t="s">
        <v>486</v>
      </c>
      <c r="BI24" s="145">
        <v>57727</v>
      </c>
      <c r="BJ24" s="145">
        <v>57419</v>
      </c>
      <c r="BK24" s="145">
        <v>7391</v>
      </c>
      <c r="BL24" s="145">
        <v>7363</v>
      </c>
      <c r="BM24" s="145" t="s">
        <v>871</v>
      </c>
      <c r="BN24" s="145">
        <v>5329</v>
      </c>
      <c r="BO24" s="145">
        <v>5292</v>
      </c>
      <c r="BP24" s="145">
        <v>56835</v>
      </c>
      <c r="BQ24" s="145">
        <v>56534</v>
      </c>
      <c r="BR24" s="145">
        <v>55710</v>
      </c>
      <c r="BS24" s="145" t="s">
        <v>1632</v>
      </c>
      <c r="BT24" s="145">
        <v>11926</v>
      </c>
      <c r="BU24" s="145">
        <v>11784</v>
      </c>
      <c r="BV24" s="145" t="s">
        <v>1537</v>
      </c>
      <c r="BW24" s="145">
        <v>64226</v>
      </c>
      <c r="BX24" s="145">
        <v>63073</v>
      </c>
      <c r="BY24" s="145" t="s">
        <v>440</v>
      </c>
      <c r="BZ24" s="145">
        <v>76152</v>
      </c>
      <c r="CA24" s="145">
        <v>74857</v>
      </c>
      <c r="CB24" s="145" t="s">
        <v>1633</v>
      </c>
      <c r="CC24" s="95">
        <v>12997</v>
      </c>
      <c r="CD24" s="95">
        <v>1078</v>
      </c>
      <c r="CE24" s="95">
        <v>8.2899999999999991</v>
      </c>
      <c r="CF24" s="95">
        <v>16984</v>
      </c>
      <c r="CG24" s="95">
        <v>1217</v>
      </c>
      <c r="CH24" s="95">
        <v>7.17</v>
      </c>
      <c r="CI24" s="95">
        <v>87927</v>
      </c>
      <c r="CJ24" s="95">
        <v>1258</v>
      </c>
      <c r="CK24" s="95">
        <v>1.43</v>
      </c>
      <c r="CL24" s="145" t="s">
        <v>1441</v>
      </c>
      <c r="CM24" s="145">
        <v>39</v>
      </c>
      <c r="CN24" s="145">
        <v>6</v>
      </c>
      <c r="CO24" s="145" t="s">
        <v>1634</v>
      </c>
      <c r="CP24" s="145">
        <v>145</v>
      </c>
      <c r="CQ24" s="145">
        <v>40</v>
      </c>
      <c r="CR24" s="145" t="s">
        <v>1635</v>
      </c>
      <c r="CS24" s="145">
        <v>361</v>
      </c>
      <c r="CT24" s="145">
        <v>87</v>
      </c>
      <c r="CU24" s="145" t="s">
        <v>1636</v>
      </c>
      <c r="CV24" s="145">
        <v>506</v>
      </c>
      <c r="CW24" s="148">
        <v>127</v>
      </c>
      <c r="CX24" s="148">
        <v>25.1</v>
      </c>
      <c r="CY24" s="109">
        <v>6101</v>
      </c>
      <c r="CZ24" s="95">
        <v>81</v>
      </c>
      <c r="DA24" s="95">
        <v>1.33</v>
      </c>
    </row>
    <row r="25" spans="1:105" x14ac:dyDescent="0.3">
      <c r="A25" s="104">
        <v>19</v>
      </c>
      <c r="B25" s="145" t="s">
        <v>295</v>
      </c>
      <c r="C25" s="145">
        <v>65441</v>
      </c>
      <c r="D25" s="145">
        <v>15348</v>
      </c>
      <c r="E25" s="145">
        <v>25151</v>
      </c>
      <c r="F25" s="145">
        <v>40497</v>
      </c>
      <c r="G25" s="145">
        <v>14962</v>
      </c>
      <c r="H25" s="145" t="s">
        <v>396</v>
      </c>
      <c r="I25" s="145">
        <v>24782</v>
      </c>
      <c r="J25" s="145" t="s">
        <v>1637</v>
      </c>
      <c r="K25" s="145">
        <v>39740</v>
      </c>
      <c r="L25" s="145">
        <v>98.13</v>
      </c>
      <c r="M25" s="145">
        <v>14952</v>
      </c>
      <c r="N25" s="145" t="s">
        <v>1527</v>
      </c>
      <c r="O25" s="145">
        <v>24744</v>
      </c>
      <c r="P25" s="145" t="s">
        <v>1638</v>
      </c>
      <c r="Q25" s="145">
        <v>39692</v>
      </c>
      <c r="R25" s="145" t="s">
        <v>1639</v>
      </c>
      <c r="S25" s="145">
        <v>14958</v>
      </c>
      <c r="T25" s="145" t="s">
        <v>534</v>
      </c>
      <c r="U25" s="145">
        <v>24796</v>
      </c>
      <c r="V25" s="145" t="s">
        <v>1640</v>
      </c>
      <c r="W25" s="149">
        <v>39751</v>
      </c>
      <c r="X25" s="145">
        <v>98.16</v>
      </c>
      <c r="Y25" s="145">
        <v>40368</v>
      </c>
      <c r="Z25" s="145" t="s">
        <v>1118</v>
      </c>
      <c r="AA25" s="145">
        <v>27251</v>
      </c>
      <c r="AB25" s="148">
        <v>11503</v>
      </c>
      <c r="AC25" s="99">
        <f t="shared" si="0"/>
        <v>28.937636789011595</v>
      </c>
      <c r="AD25" s="145">
        <v>467</v>
      </c>
      <c r="AE25" s="145">
        <v>409</v>
      </c>
      <c r="AF25" s="145">
        <v>38760</v>
      </c>
      <c r="AG25" s="145" t="s">
        <v>1641</v>
      </c>
      <c r="AH25" s="134">
        <v>1450</v>
      </c>
      <c r="AI25" s="108">
        <v>3.65</v>
      </c>
      <c r="AJ25" s="95">
        <v>1292</v>
      </c>
      <c r="AK25" s="95">
        <v>3.26</v>
      </c>
      <c r="AL25" s="95">
        <v>1543</v>
      </c>
      <c r="AM25" s="95">
        <v>3.89</v>
      </c>
      <c r="AN25" s="95">
        <v>1666</v>
      </c>
      <c r="AO25" s="95">
        <v>4.1900000000000004</v>
      </c>
      <c r="AP25" s="145">
        <v>9105</v>
      </c>
      <c r="AQ25" s="145">
        <v>6004</v>
      </c>
      <c r="AR25" s="145">
        <v>4632</v>
      </c>
      <c r="AS25" s="145">
        <v>77.150000000000006</v>
      </c>
      <c r="AT25" s="148">
        <v>5332</v>
      </c>
      <c r="AU25" s="148">
        <v>2771</v>
      </c>
      <c r="AV25" s="148">
        <v>51.97</v>
      </c>
      <c r="AW25" s="145">
        <v>5223</v>
      </c>
      <c r="AX25" s="145">
        <v>4090</v>
      </c>
      <c r="AY25" s="145" t="s">
        <v>1642</v>
      </c>
      <c r="AZ25" s="145">
        <v>3933</v>
      </c>
      <c r="BA25" s="145">
        <v>96.16</v>
      </c>
      <c r="BB25" s="145">
        <v>4051</v>
      </c>
      <c r="BC25" s="145" t="s">
        <v>1643</v>
      </c>
      <c r="BD25" s="148">
        <v>3894</v>
      </c>
      <c r="BE25" s="148">
        <v>95.21</v>
      </c>
      <c r="BF25" s="145">
        <v>6081</v>
      </c>
      <c r="BG25" s="145">
        <v>6022</v>
      </c>
      <c r="BH25" s="145" t="s">
        <v>1644</v>
      </c>
      <c r="BI25" s="145">
        <v>42677</v>
      </c>
      <c r="BJ25" s="145">
        <v>42413</v>
      </c>
      <c r="BK25" s="145">
        <v>6213</v>
      </c>
      <c r="BL25" s="145">
        <v>6181</v>
      </c>
      <c r="BM25" s="145" t="s">
        <v>1198</v>
      </c>
      <c r="BN25" s="145">
        <v>4898</v>
      </c>
      <c r="BO25" s="145">
        <v>4763</v>
      </c>
      <c r="BP25" s="145">
        <v>42974</v>
      </c>
      <c r="BQ25" s="145">
        <v>41755</v>
      </c>
      <c r="BR25" s="145">
        <v>41094</v>
      </c>
      <c r="BS25" s="145" t="s">
        <v>1512</v>
      </c>
      <c r="BT25" s="145">
        <v>10979</v>
      </c>
      <c r="BU25" s="145">
        <v>10785</v>
      </c>
      <c r="BV25" s="145" t="s">
        <v>1645</v>
      </c>
      <c r="BW25" s="145">
        <v>49187</v>
      </c>
      <c r="BX25" s="145">
        <v>47275</v>
      </c>
      <c r="BY25" s="145" t="s">
        <v>1646</v>
      </c>
      <c r="BZ25" s="145">
        <v>60166</v>
      </c>
      <c r="CA25" s="145">
        <v>58060</v>
      </c>
      <c r="CB25" s="145" t="s">
        <v>1647</v>
      </c>
      <c r="CC25" s="95">
        <v>5314</v>
      </c>
      <c r="CD25" s="95">
        <v>140</v>
      </c>
      <c r="CE25" s="95">
        <v>2.63</v>
      </c>
      <c r="CF25" s="95">
        <v>4173</v>
      </c>
      <c r="CG25" s="95">
        <v>361</v>
      </c>
      <c r="CH25" s="95">
        <v>8.65</v>
      </c>
      <c r="CI25" s="95">
        <v>31015</v>
      </c>
      <c r="CJ25" s="95">
        <v>1171</v>
      </c>
      <c r="CK25" s="95">
        <v>3.78</v>
      </c>
      <c r="CL25" s="145" t="s">
        <v>1441</v>
      </c>
      <c r="CM25" s="145">
        <v>40</v>
      </c>
      <c r="CN25" s="145">
        <v>3</v>
      </c>
      <c r="CO25" s="145" t="s">
        <v>1648</v>
      </c>
      <c r="CP25" s="145">
        <v>127</v>
      </c>
      <c r="CQ25" s="145">
        <v>19</v>
      </c>
      <c r="CR25" s="145" t="s">
        <v>1649</v>
      </c>
      <c r="CS25" s="145">
        <v>194</v>
      </c>
      <c r="CT25" s="145">
        <v>15</v>
      </c>
      <c r="CU25" s="145" t="s">
        <v>1650</v>
      </c>
      <c r="CV25" s="145">
        <v>321</v>
      </c>
      <c r="CW25" s="148">
        <v>34</v>
      </c>
      <c r="CX25" s="148">
        <v>10.59</v>
      </c>
      <c r="CY25" s="109">
        <v>3303</v>
      </c>
      <c r="CZ25" s="95">
        <v>2125</v>
      </c>
      <c r="DA25" s="95">
        <v>64.34</v>
      </c>
    </row>
    <row r="26" spans="1:105" x14ac:dyDescent="0.3">
      <c r="A26" s="104">
        <v>20</v>
      </c>
      <c r="B26" s="145" t="s">
        <v>296</v>
      </c>
      <c r="C26" s="145">
        <v>94133</v>
      </c>
      <c r="D26" s="145">
        <v>17989</v>
      </c>
      <c r="E26" s="145">
        <v>38745</v>
      </c>
      <c r="F26" s="145">
        <v>56731</v>
      </c>
      <c r="G26" s="145">
        <v>17336</v>
      </c>
      <c r="H26" s="145" t="s">
        <v>1504</v>
      </c>
      <c r="I26" s="145">
        <v>37485</v>
      </c>
      <c r="J26" s="145" t="s">
        <v>1651</v>
      </c>
      <c r="K26" s="145">
        <v>54816</v>
      </c>
      <c r="L26" s="145">
        <v>96.62</v>
      </c>
      <c r="M26" s="145">
        <v>17332</v>
      </c>
      <c r="N26" s="145" t="s">
        <v>1652</v>
      </c>
      <c r="O26" s="145">
        <v>37514</v>
      </c>
      <c r="P26" s="145" t="s">
        <v>1653</v>
      </c>
      <c r="Q26" s="145">
        <v>54841</v>
      </c>
      <c r="R26" s="145" t="s">
        <v>1654</v>
      </c>
      <c r="S26" s="145">
        <v>17298</v>
      </c>
      <c r="T26" s="145" t="s">
        <v>1655</v>
      </c>
      <c r="U26" s="145">
        <v>37495</v>
      </c>
      <c r="V26" s="145" t="s">
        <v>1656</v>
      </c>
      <c r="W26" s="149">
        <v>54789</v>
      </c>
      <c r="X26" s="145">
        <v>96.58</v>
      </c>
      <c r="Y26" s="145">
        <v>56619</v>
      </c>
      <c r="Z26" s="145" t="s">
        <v>1092</v>
      </c>
      <c r="AA26" s="145">
        <v>32301</v>
      </c>
      <c r="AB26" s="148">
        <v>21103</v>
      </c>
      <c r="AC26" s="99">
        <f t="shared" si="0"/>
        <v>38.516855573199003</v>
      </c>
      <c r="AD26" s="145">
        <v>1139</v>
      </c>
      <c r="AE26" s="145">
        <v>224</v>
      </c>
      <c r="AF26" s="145">
        <v>53414</v>
      </c>
      <c r="AG26" s="145" t="s">
        <v>1657</v>
      </c>
      <c r="AH26" s="134">
        <v>2885</v>
      </c>
      <c r="AI26" s="108">
        <v>5.27</v>
      </c>
      <c r="AJ26" s="95">
        <v>2655</v>
      </c>
      <c r="AK26" s="95">
        <v>4.84</v>
      </c>
      <c r="AL26" s="95">
        <v>1505</v>
      </c>
      <c r="AM26" s="95">
        <v>2.74</v>
      </c>
      <c r="AN26" s="95">
        <v>4133</v>
      </c>
      <c r="AO26" s="95">
        <v>7.54</v>
      </c>
      <c r="AP26" s="145">
        <v>8166</v>
      </c>
      <c r="AQ26" s="145">
        <v>3612</v>
      </c>
      <c r="AR26" s="145">
        <v>3378</v>
      </c>
      <c r="AS26" s="145">
        <v>93.52</v>
      </c>
      <c r="AT26" s="148">
        <v>5740</v>
      </c>
      <c r="AU26" s="148">
        <v>2196</v>
      </c>
      <c r="AV26" s="148">
        <v>38.26</v>
      </c>
      <c r="AW26" s="145">
        <v>6875</v>
      </c>
      <c r="AX26" s="145">
        <v>3311</v>
      </c>
      <c r="AY26" s="145" t="s">
        <v>1658</v>
      </c>
      <c r="AZ26" s="145">
        <v>3042</v>
      </c>
      <c r="BA26" s="145">
        <v>91.88</v>
      </c>
      <c r="BB26" s="145">
        <v>3208</v>
      </c>
      <c r="BC26" s="145" t="s">
        <v>1659</v>
      </c>
      <c r="BD26" s="148">
        <v>3013</v>
      </c>
      <c r="BE26" s="148">
        <v>91</v>
      </c>
      <c r="BF26" s="145">
        <v>6331</v>
      </c>
      <c r="BG26" s="145">
        <v>6277</v>
      </c>
      <c r="BH26" s="145" t="s">
        <v>514</v>
      </c>
      <c r="BI26" s="145">
        <v>63014</v>
      </c>
      <c r="BJ26" s="145">
        <v>62885</v>
      </c>
      <c r="BK26" s="145">
        <v>8899</v>
      </c>
      <c r="BL26" s="145">
        <v>8895</v>
      </c>
      <c r="BM26" s="145" t="s">
        <v>485</v>
      </c>
      <c r="BN26" s="145">
        <v>5385</v>
      </c>
      <c r="BO26" s="145">
        <v>5284</v>
      </c>
      <c r="BP26" s="145">
        <v>61467</v>
      </c>
      <c r="BQ26" s="145">
        <v>60199</v>
      </c>
      <c r="BR26" s="145">
        <v>59194</v>
      </c>
      <c r="BS26" s="145" t="s">
        <v>1437</v>
      </c>
      <c r="BT26" s="145">
        <v>11716</v>
      </c>
      <c r="BU26" s="145">
        <v>11561</v>
      </c>
      <c r="BV26" s="145" t="s">
        <v>431</v>
      </c>
      <c r="BW26" s="145">
        <v>70366</v>
      </c>
      <c r="BX26" s="145">
        <v>68089</v>
      </c>
      <c r="BY26" s="145" t="s">
        <v>1660</v>
      </c>
      <c r="BZ26" s="145">
        <v>82082</v>
      </c>
      <c r="CA26" s="145">
        <v>79650</v>
      </c>
      <c r="CB26" s="145" t="s">
        <v>1661</v>
      </c>
      <c r="CC26" s="95">
        <v>9762</v>
      </c>
      <c r="CD26" s="95">
        <v>810</v>
      </c>
      <c r="CE26" s="95">
        <v>8.3000000000000007</v>
      </c>
      <c r="CF26" s="95">
        <v>9998</v>
      </c>
      <c r="CG26" s="95">
        <v>1217</v>
      </c>
      <c r="CH26" s="95">
        <v>12.17</v>
      </c>
      <c r="CI26" s="95">
        <v>67906</v>
      </c>
      <c r="CJ26" s="95">
        <v>3547</v>
      </c>
      <c r="CK26" s="95">
        <v>5.22</v>
      </c>
      <c r="CL26" s="145" t="s">
        <v>1441</v>
      </c>
      <c r="CM26" s="145">
        <v>49</v>
      </c>
      <c r="CN26" s="145">
        <v>2</v>
      </c>
      <c r="CO26" s="145" t="s">
        <v>1662</v>
      </c>
      <c r="CP26" s="145">
        <v>267</v>
      </c>
      <c r="CQ26" s="145">
        <v>23</v>
      </c>
      <c r="CR26" s="145" t="s">
        <v>1663</v>
      </c>
      <c r="CS26" s="145">
        <v>462</v>
      </c>
      <c r="CT26" s="145">
        <v>13</v>
      </c>
      <c r="CU26" s="145" t="s">
        <v>1664</v>
      </c>
      <c r="CV26" s="145">
        <v>729</v>
      </c>
      <c r="CW26" s="148">
        <v>36</v>
      </c>
      <c r="CX26" s="148">
        <v>4.9400000000000004</v>
      </c>
      <c r="CY26" s="109">
        <v>5119</v>
      </c>
      <c r="CZ26" s="95">
        <v>196</v>
      </c>
      <c r="DA26" s="95">
        <v>3.83</v>
      </c>
    </row>
    <row r="27" spans="1:105" x14ac:dyDescent="0.3">
      <c r="A27" s="104">
        <v>21</v>
      </c>
      <c r="B27" s="145" t="s">
        <v>299</v>
      </c>
      <c r="C27" s="145">
        <v>97838</v>
      </c>
      <c r="D27" s="145">
        <v>21507</v>
      </c>
      <c r="E27" s="145">
        <v>42718</v>
      </c>
      <c r="F27" s="145">
        <v>64231</v>
      </c>
      <c r="G27" s="145">
        <v>21287</v>
      </c>
      <c r="H27" s="145" t="s">
        <v>1604</v>
      </c>
      <c r="I27" s="145">
        <v>42599</v>
      </c>
      <c r="J27" s="145" t="s">
        <v>1665</v>
      </c>
      <c r="K27" s="145">
        <v>63894</v>
      </c>
      <c r="L27" s="145">
        <v>99.48</v>
      </c>
      <c r="M27" s="145">
        <v>21308</v>
      </c>
      <c r="N27" s="145" t="s">
        <v>1666</v>
      </c>
      <c r="O27" s="145">
        <v>42559</v>
      </c>
      <c r="P27" s="145" t="s">
        <v>927</v>
      </c>
      <c r="Q27" s="145">
        <v>63876</v>
      </c>
      <c r="R27" s="145" t="s">
        <v>1528</v>
      </c>
      <c r="S27" s="145">
        <v>21307</v>
      </c>
      <c r="T27" s="145" t="s">
        <v>1666</v>
      </c>
      <c r="U27" s="145">
        <v>42581</v>
      </c>
      <c r="V27" s="145" t="s">
        <v>1118</v>
      </c>
      <c r="W27" s="149">
        <v>63900</v>
      </c>
      <c r="X27" s="145">
        <v>99.48</v>
      </c>
      <c r="Y27" s="145">
        <v>62968</v>
      </c>
      <c r="Z27" s="145" t="s">
        <v>1104</v>
      </c>
      <c r="AA27" s="145">
        <v>39277</v>
      </c>
      <c r="AB27" s="148">
        <v>23515</v>
      </c>
      <c r="AC27" s="99">
        <f t="shared" si="0"/>
        <v>36.799687010954621</v>
      </c>
      <c r="AD27" s="145">
        <v>481</v>
      </c>
      <c r="AE27" s="145">
        <v>553</v>
      </c>
      <c r="AF27" s="145">
        <v>62800</v>
      </c>
      <c r="AG27" s="145" t="s">
        <v>1667</v>
      </c>
      <c r="AH27" s="134">
        <v>1333</v>
      </c>
      <c r="AI27" s="108">
        <v>2.09</v>
      </c>
      <c r="AJ27" s="95">
        <v>1792</v>
      </c>
      <c r="AK27" s="95">
        <v>2.81</v>
      </c>
      <c r="AL27" s="95">
        <v>2958</v>
      </c>
      <c r="AM27" s="95">
        <v>4.63</v>
      </c>
      <c r="AN27" s="95">
        <v>2500</v>
      </c>
      <c r="AO27" s="95">
        <v>3.91</v>
      </c>
      <c r="AP27" s="145">
        <v>12378</v>
      </c>
      <c r="AQ27" s="145">
        <v>10131</v>
      </c>
      <c r="AR27" s="145">
        <v>9602</v>
      </c>
      <c r="AS27" s="145">
        <v>94.78</v>
      </c>
      <c r="AT27" s="148">
        <v>7333</v>
      </c>
      <c r="AU27" s="148">
        <v>6170</v>
      </c>
      <c r="AV27" s="148">
        <v>84.14</v>
      </c>
      <c r="AW27" s="145">
        <v>7805</v>
      </c>
      <c r="AX27" s="145">
        <v>7575</v>
      </c>
      <c r="AY27" s="145" t="s">
        <v>1510</v>
      </c>
      <c r="AZ27" s="145">
        <v>7514</v>
      </c>
      <c r="BA27" s="145">
        <v>99.19</v>
      </c>
      <c r="BB27" s="145">
        <v>7502</v>
      </c>
      <c r="BC27" s="145" t="s">
        <v>1185</v>
      </c>
      <c r="BD27" s="148">
        <v>7475</v>
      </c>
      <c r="BE27" s="148">
        <v>98.68</v>
      </c>
      <c r="BF27" s="145">
        <v>8098</v>
      </c>
      <c r="BG27" s="145">
        <v>8092</v>
      </c>
      <c r="BH27" s="145" t="s">
        <v>496</v>
      </c>
      <c r="BI27" s="145">
        <v>68496</v>
      </c>
      <c r="BJ27" s="145">
        <v>68496</v>
      </c>
      <c r="BK27" s="145">
        <v>10044</v>
      </c>
      <c r="BL27" s="145">
        <v>10037</v>
      </c>
      <c r="BM27" s="145" t="s">
        <v>496</v>
      </c>
      <c r="BN27" s="145">
        <v>6442</v>
      </c>
      <c r="BO27" s="145">
        <v>6439</v>
      </c>
      <c r="BP27" s="145">
        <v>66832</v>
      </c>
      <c r="BQ27" s="145">
        <v>66824</v>
      </c>
      <c r="BR27" s="145">
        <v>66363</v>
      </c>
      <c r="BS27" s="145" t="s">
        <v>425</v>
      </c>
      <c r="BT27" s="145">
        <v>14540</v>
      </c>
      <c r="BU27" s="145">
        <v>14531</v>
      </c>
      <c r="BV27" s="145" t="s">
        <v>390</v>
      </c>
      <c r="BW27" s="145">
        <v>76876</v>
      </c>
      <c r="BX27" s="145">
        <v>76400</v>
      </c>
      <c r="BY27" s="145" t="s">
        <v>1500</v>
      </c>
      <c r="BZ27" s="145">
        <v>91416</v>
      </c>
      <c r="CA27" s="145">
        <v>90931</v>
      </c>
      <c r="CB27" s="145" t="s">
        <v>1632</v>
      </c>
      <c r="CC27" s="95">
        <v>9014</v>
      </c>
      <c r="CD27" s="95">
        <v>1455</v>
      </c>
      <c r="CE27" s="95">
        <v>16.14</v>
      </c>
      <c r="CF27" s="95">
        <v>7162</v>
      </c>
      <c r="CG27" s="95">
        <v>0</v>
      </c>
      <c r="CH27" s="95">
        <v>0</v>
      </c>
      <c r="CI27" s="95">
        <v>99614</v>
      </c>
      <c r="CJ27" s="95">
        <v>14</v>
      </c>
      <c r="CK27" s="95">
        <v>0.01</v>
      </c>
      <c r="CL27" s="145" t="s">
        <v>1441</v>
      </c>
      <c r="CM27" s="145">
        <v>9</v>
      </c>
      <c r="CN27" s="145">
        <v>3</v>
      </c>
      <c r="CO27" s="145" t="s">
        <v>1668</v>
      </c>
      <c r="CP27" s="145">
        <v>27</v>
      </c>
      <c r="CQ27" s="145">
        <v>18</v>
      </c>
      <c r="CR27" s="145" t="s">
        <v>1669</v>
      </c>
      <c r="CS27" s="145">
        <v>48</v>
      </c>
      <c r="CT27" s="145">
        <v>34</v>
      </c>
      <c r="CU27" s="145" t="s">
        <v>1670</v>
      </c>
      <c r="CV27" s="145">
        <v>75</v>
      </c>
      <c r="CW27" s="148">
        <v>52</v>
      </c>
      <c r="CX27" s="148">
        <v>69.33</v>
      </c>
      <c r="CY27" s="109">
        <v>2702</v>
      </c>
      <c r="CZ27" s="95">
        <v>83</v>
      </c>
      <c r="DA27" s="95">
        <v>3.07</v>
      </c>
    </row>
    <row r="28" spans="1:105" x14ac:dyDescent="0.3">
      <c r="A28" s="104">
        <v>22</v>
      </c>
      <c r="B28" s="145" t="s">
        <v>301</v>
      </c>
      <c r="C28" s="145">
        <v>80514</v>
      </c>
      <c r="D28" s="145">
        <v>17193</v>
      </c>
      <c r="E28" s="145">
        <v>33218</v>
      </c>
      <c r="F28" s="145">
        <v>50406</v>
      </c>
      <c r="G28" s="145">
        <v>16572</v>
      </c>
      <c r="H28" s="145" t="s">
        <v>1671</v>
      </c>
      <c r="I28" s="145">
        <v>32759</v>
      </c>
      <c r="J28" s="145" t="s">
        <v>1485</v>
      </c>
      <c r="K28" s="145">
        <v>49325</v>
      </c>
      <c r="L28" s="145">
        <v>97.86</v>
      </c>
      <c r="M28" s="145">
        <v>16588</v>
      </c>
      <c r="N28" s="145" t="s">
        <v>1460</v>
      </c>
      <c r="O28" s="145">
        <v>32722</v>
      </c>
      <c r="P28" s="145" t="s">
        <v>1672</v>
      </c>
      <c r="Q28" s="145">
        <v>49310</v>
      </c>
      <c r="R28" s="145" t="s">
        <v>1531</v>
      </c>
      <c r="S28" s="145">
        <v>16584</v>
      </c>
      <c r="T28" s="145" t="s">
        <v>1673</v>
      </c>
      <c r="U28" s="145">
        <v>32733</v>
      </c>
      <c r="V28" s="145" t="s">
        <v>1674</v>
      </c>
      <c r="W28" s="149">
        <v>49315</v>
      </c>
      <c r="X28" s="145">
        <v>97.84</v>
      </c>
      <c r="Y28" s="145">
        <v>50240</v>
      </c>
      <c r="Z28" s="145" t="s">
        <v>994</v>
      </c>
      <c r="AA28" s="145">
        <v>26004</v>
      </c>
      <c r="AB28" s="148">
        <v>21933</v>
      </c>
      <c r="AC28" s="99">
        <f t="shared" si="0"/>
        <v>44.475311771266348</v>
      </c>
      <c r="AD28" s="145">
        <v>1050</v>
      </c>
      <c r="AE28" s="145">
        <v>257</v>
      </c>
      <c r="AF28" s="145">
        <v>47928</v>
      </c>
      <c r="AG28" s="145" t="s">
        <v>1675</v>
      </c>
      <c r="AH28" s="134">
        <v>1428</v>
      </c>
      <c r="AI28" s="108">
        <v>2.9</v>
      </c>
      <c r="AJ28" s="95">
        <v>1311</v>
      </c>
      <c r="AK28" s="95">
        <v>2.66</v>
      </c>
      <c r="AL28" s="95">
        <v>2384</v>
      </c>
      <c r="AM28" s="95">
        <v>4.83</v>
      </c>
      <c r="AN28" s="95">
        <v>2666</v>
      </c>
      <c r="AO28" s="95">
        <v>5.4</v>
      </c>
      <c r="AP28" s="145">
        <v>8898</v>
      </c>
      <c r="AQ28" s="145">
        <v>5938</v>
      </c>
      <c r="AR28" s="145">
        <v>5120</v>
      </c>
      <c r="AS28" s="145">
        <v>86.22</v>
      </c>
      <c r="AT28" s="148">
        <v>6006</v>
      </c>
      <c r="AU28" s="148">
        <v>3475</v>
      </c>
      <c r="AV28" s="148">
        <v>57.86</v>
      </c>
      <c r="AW28" s="145">
        <v>7835</v>
      </c>
      <c r="AX28" s="145">
        <v>5518</v>
      </c>
      <c r="AY28" s="145" t="s">
        <v>1676</v>
      </c>
      <c r="AZ28" s="145">
        <v>5429</v>
      </c>
      <c r="BA28" s="145">
        <v>98.39</v>
      </c>
      <c r="BB28" s="145">
        <v>5479</v>
      </c>
      <c r="BC28" s="145" t="s">
        <v>1621</v>
      </c>
      <c r="BD28" s="148">
        <v>5416</v>
      </c>
      <c r="BE28" s="148">
        <v>98.15</v>
      </c>
      <c r="BF28" s="145">
        <v>5318</v>
      </c>
      <c r="BG28" s="145">
        <v>5045</v>
      </c>
      <c r="BH28" s="145" t="s">
        <v>1677</v>
      </c>
      <c r="BI28" s="145">
        <v>52142</v>
      </c>
      <c r="BJ28" s="145">
        <v>50425</v>
      </c>
      <c r="BK28" s="145">
        <v>7588</v>
      </c>
      <c r="BL28" s="145">
        <v>7239</v>
      </c>
      <c r="BM28" s="145" t="s">
        <v>1678</v>
      </c>
      <c r="BN28" s="145">
        <v>5179</v>
      </c>
      <c r="BO28" s="145">
        <v>5060</v>
      </c>
      <c r="BP28" s="145">
        <v>50492</v>
      </c>
      <c r="BQ28" s="145">
        <v>49171</v>
      </c>
      <c r="BR28" s="145">
        <v>46943</v>
      </c>
      <c r="BS28" s="145" t="s">
        <v>1679</v>
      </c>
      <c r="BT28" s="145">
        <v>10497</v>
      </c>
      <c r="BU28" s="145">
        <v>10105</v>
      </c>
      <c r="BV28" s="145" t="s">
        <v>1680</v>
      </c>
      <c r="BW28" s="145">
        <v>58080</v>
      </c>
      <c r="BX28" s="145">
        <v>54182</v>
      </c>
      <c r="BY28" s="145" t="s">
        <v>1681</v>
      </c>
      <c r="BZ28" s="145">
        <v>68577</v>
      </c>
      <c r="CA28" s="145">
        <v>64287</v>
      </c>
      <c r="CB28" s="145" t="s">
        <v>1682</v>
      </c>
      <c r="CC28" s="95">
        <v>5671</v>
      </c>
      <c r="CD28" s="95">
        <v>735</v>
      </c>
      <c r="CE28" s="95">
        <v>12.96</v>
      </c>
      <c r="CF28" s="95">
        <v>8185</v>
      </c>
      <c r="CG28" s="95">
        <v>644</v>
      </c>
      <c r="CH28" s="95">
        <v>7.87</v>
      </c>
      <c r="CI28" s="95">
        <v>73845</v>
      </c>
      <c r="CJ28" s="95">
        <v>1383</v>
      </c>
      <c r="CK28" s="95">
        <v>1.87</v>
      </c>
      <c r="CL28" s="145" t="s">
        <v>1441</v>
      </c>
      <c r="CM28" s="145">
        <v>7</v>
      </c>
      <c r="CN28" s="145">
        <v>0</v>
      </c>
      <c r="CO28" s="145">
        <v>0</v>
      </c>
      <c r="CP28" s="145">
        <v>7</v>
      </c>
      <c r="CQ28" s="145">
        <v>1</v>
      </c>
      <c r="CR28" s="145" t="s">
        <v>1016</v>
      </c>
      <c r="CS28" s="145">
        <v>20</v>
      </c>
      <c r="CT28" s="145">
        <v>0</v>
      </c>
      <c r="CU28" s="145">
        <v>0</v>
      </c>
      <c r="CV28" s="145">
        <v>27</v>
      </c>
      <c r="CW28" s="148">
        <v>1</v>
      </c>
      <c r="CX28" s="148">
        <v>3.7</v>
      </c>
      <c r="CY28" s="109">
        <v>1555</v>
      </c>
      <c r="CZ28" s="95">
        <v>53</v>
      </c>
      <c r="DA28" s="95">
        <v>3.41</v>
      </c>
    </row>
    <row r="29" spans="1:105" x14ac:dyDescent="0.3">
      <c r="A29" s="104">
        <v>23</v>
      </c>
      <c r="B29" s="145" t="s">
        <v>302</v>
      </c>
      <c r="C29" s="145">
        <v>30777</v>
      </c>
      <c r="D29" s="145">
        <v>9112</v>
      </c>
      <c r="E29" s="145">
        <v>17400</v>
      </c>
      <c r="F29" s="145">
        <v>26517</v>
      </c>
      <c r="G29" s="145">
        <v>8923</v>
      </c>
      <c r="H29" s="145" t="s">
        <v>1683</v>
      </c>
      <c r="I29" s="145">
        <v>17204</v>
      </c>
      <c r="J29" s="145" t="s">
        <v>1684</v>
      </c>
      <c r="K29" s="145">
        <v>26122</v>
      </c>
      <c r="L29" s="145">
        <v>98.51</v>
      </c>
      <c r="M29" s="145">
        <v>8936</v>
      </c>
      <c r="N29" s="145" t="s">
        <v>1685</v>
      </c>
      <c r="O29" s="145">
        <v>17197</v>
      </c>
      <c r="P29" s="145" t="s">
        <v>546</v>
      </c>
      <c r="Q29" s="145">
        <v>26128</v>
      </c>
      <c r="R29" s="145" t="s">
        <v>1637</v>
      </c>
      <c r="S29" s="145">
        <v>8933</v>
      </c>
      <c r="T29" s="145" t="s">
        <v>1686</v>
      </c>
      <c r="U29" s="145">
        <v>17198</v>
      </c>
      <c r="V29" s="145" t="s">
        <v>391</v>
      </c>
      <c r="W29" s="149">
        <v>26124</v>
      </c>
      <c r="X29" s="145">
        <v>98.52</v>
      </c>
      <c r="Y29" s="145">
        <v>25715</v>
      </c>
      <c r="Z29" s="145" t="s">
        <v>1457</v>
      </c>
      <c r="AA29" s="145">
        <v>13489</v>
      </c>
      <c r="AB29" s="148">
        <v>11954</v>
      </c>
      <c r="AC29" s="99">
        <f t="shared" si="0"/>
        <v>45.758689327821159</v>
      </c>
      <c r="AD29" s="145">
        <v>438</v>
      </c>
      <c r="AE29" s="145">
        <v>232</v>
      </c>
      <c r="AF29" s="145">
        <v>25449</v>
      </c>
      <c r="AG29" s="145">
        <v>53</v>
      </c>
      <c r="AH29" s="134">
        <v>3683</v>
      </c>
      <c r="AI29" s="108">
        <v>14.1</v>
      </c>
      <c r="AJ29" s="95">
        <v>895</v>
      </c>
      <c r="AK29" s="95">
        <v>3.43</v>
      </c>
      <c r="AL29" s="95">
        <v>930</v>
      </c>
      <c r="AM29" s="95">
        <v>3.56</v>
      </c>
      <c r="AN29" s="95">
        <v>2570</v>
      </c>
      <c r="AO29" s="95">
        <v>9.84</v>
      </c>
      <c r="AP29" s="145">
        <v>4874</v>
      </c>
      <c r="AQ29" s="145">
        <v>3180</v>
      </c>
      <c r="AR29" s="145">
        <v>2536</v>
      </c>
      <c r="AS29" s="145">
        <v>79.75</v>
      </c>
      <c r="AT29" s="148">
        <v>3175</v>
      </c>
      <c r="AU29" s="148">
        <v>1294</v>
      </c>
      <c r="AV29" s="148">
        <v>40.76</v>
      </c>
      <c r="AW29" s="145">
        <v>3689</v>
      </c>
      <c r="AX29" s="145">
        <v>3379</v>
      </c>
      <c r="AY29" s="145" t="s">
        <v>1687</v>
      </c>
      <c r="AZ29" s="145">
        <v>3241</v>
      </c>
      <c r="BA29" s="145">
        <v>95.92</v>
      </c>
      <c r="BB29" s="145">
        <v>3316</v>
      </c>
      <c r="BC29" s="145" t="s">
        <v>1618</v>
      </c>
      <c r="BD29" s="148">
        <v>3236</v>
      </c>
      <c r="BE29" s="148">
        <v>95.77</v>
      </c>
      <c r="BF29" s="145">
        <v>2231</v>
      </c>
      <c r="BG29" s="145">
        <v>2199</v>
      </c>
      <c r="BH29" s="145" t="s">
        <v>1688</v>
      </c>
      <c r="BI29" s="145">
        <v>21745</v>
      </c>
      <c r="BJ29" s="145">
        <v>21531</v>
      </c>
      <c r="BK29" s="145">
        <v>3151</v>
      </c>
      <c r="BL29" s="145">
        <v>3122</v>
      </c>
      <c r="BM29" s="145" t="s">
        <v>1689</v>
      </c>
      <c r="BN29" s="145">
        <v>3438</v>
      </c>
      <c r="BO29" s="145">
        <v>3437</v>
      </c>
      <c r="BP29" s="145">
        <v>33734</v>
      </c>
      <c r="BQ29" s="145">
        <v>33728</v>
      </c>
      <c r="BR29" s="145">
        <v>32980</v>
      </c>
      <c r="BS29" s="145" t="s">
        <v>1516</v>
      </c>
      <c r="BT29" s="145">
        <v>5669</v>
      </c>
      <c r="BU29" s="145">
        <v>5636</v>
      </c>
      <c r="BV29" s="145" t="s">
        <v>1515</v>
      </c>
      <c r="BW29" s="145">
        <v>36885</v>
      </c>
      <c r="BX29" s="145">
        <v>36102</v>
      </c>
      <c r="BY29" s="145" t="s">
        <v>523</v>
      </c>
      <c r="BZ29" s="145">
        <v>42554</v>
      </c>
      <c r="CA29" s="145">
        <v>41738</v>
      </c>
      <c r="CB29" s="145" t="s">
        <v>1690</v>
      </c>
      <c r="CC29" s="95">
        <v>2530</v>
      </c>
      <c r="CD29" s="95">
        <v>278</v>
      </c>
      <c r="CE29" s="95">
        <v>10.99</v>
      </c>
      <c r="CF29" s="95">
        <v>5863</v>
      </c>
      <c r="CG29" s="95">
        <v>312</v>
      </c>
      <c r="CH29" s="95">
        <v>5.32</v>
      </c>
      <c r="CI29" s="95">
        <v>27459</v>
      </c>
      <c r="CJ29" s="95">
        <v>4</v>
      </c>
      <c r="CK29" s="95">
        <v>0.01</v>
      </c>
      <c r="CL29" s="145" t="s">
        <v>1441</v>
      </c>
      <c r="CM29" s="145">
        <v>10</v>
      </c>
      <c r="CN29" s="145">
        <v>0</v>
      </c>
      <c r="CO29" s="145">
        <v>0</v>
      </c>
      <c r="CP29" s="145">
        <v>16</v>
      </c>
      <c r="CQ29" s="145">
        <v>2</v>
      </c>
      <c r="CR29" s="145" t="s">
        <v>722</v>
      </c>
      <c r="CS29" s="145">
        <v>31</v>
      </c>
      <c r="CT29" s="145">
        <v>0</v>
      </c>
      <c r="CU29" s="145">
        <v>0</v>
      </c>
      <c r="CV29" s="145">
        <v>47</v>
      </c>
      <c r="CW29" s="148">
        <v>2</v>
      </c>
      <c r="CX29" s="148">
        <v>4.26</v>
      </c>
      <c r="CY29" s="109">
        <v>3769</v>
      </c>
      <c r="CZ29" s="95">
        <v>15</v>
      </c>
      <c r="DA29" s="95">
        <v>0.4</v>
      </c>
    </row>
    <row r="30" spans="1:105" x14ac:dyDescent="0.3">
      <c r="A30" s="104">
        <v>24</v>
      </c>
      <c r="B30" s="145" t="s">
        <v>303</v>
      </c>
      <c r="C30" s="145">
        <v>79309</v>
      </c>
      <c r="D30" s="145">
        <v>15773</v>
      </c>
      <c r="E30" s="145">
        <v>29781</v>
      </c>
      <c r="F30" s="145">
        <v>45550</v>
      </c>
      <c r="G30" s="145">
        <v>15182</v>
      </c>
      <c r="H30" s="145" t="s">
        <v>1691</v>
      </c>
      <c r="I30" s="145">
        <v>29340</v>
      </c>
      <c r="J30" s="145" t="s">
        <v>1692</v>
      </c>
      <c r="K30" s="145">
        <v>44525</v>
      </c>
      <c r="L30" s="145">
        <v>97.75</v>
      </c>
      <c r="M30" s="145">
        <v>15217</v>
      </c>
      <c r="N30" s="145" t="s">
        <v>1693</v>
      </c>
      <c r="O30" s="145">
        <v>29347</v>
      </c>
      <c r="P30" s="145" t="s">
        <v>1674</v>
      </c>
      <c r="Q30" s="145">
        <v>44566</v>
      </c>
      <c r="R30" s="145" t="s">
        <v>1480</v>
      </c>
      <c r="S30" s="145">
        <v>15212</v>
      </c>
      <c r="T30" s="145" t="s">
        <v>1438</v>
      </c>
      <c r="U30" s="145">
        <v>29348</v>
      </c>
      <c r="V30" s="145" t="s">
        <v>1271</v>
      </c>
      <c r="W30" s="149">
        <v>44562</v>
      </c>
      <c r="X30" s="145">
        <v>97.83</v>
      </c>
      <c r="Y30" s="145">
        <v>45365</v>
      </c>
      <c r="Z30" s="145" t="s">
        <v>886</v>
      </c>
      <c r="AA30" s="145">
        <v>23029</v>
      </c>
      <c r="AB30" s="148">
        <v>20074</v>
      </c>
      <c r="AC30" s="99">
        <f t="shared" si="0"/>
        <v>45.047349759885101</v>
      </c>
      <c r="AD30" s="145">
        <v>923</v>
      </c>
      <c r="AE30" s="145">
        <v>509</v>
      </c>
      <c r="AF30" s="145">
        <v>43096</v>
      </c>
      <c r="AG30" s="145" t="s">
        <v>1694</v>
      </c>
      <c r="AH30" s="134">
        <v>5288</v>
      </c>
      <c r="AI30" s="108">
        <v>11.87</v>
      </c>
      <c r="AJ30" s="95">
        <v>2750</v>
      </c>
      <c r="AK30" s="95">
        <v>6.17</v>
      </c>
      <c r="AL30" s="95">
        <v>2018</v>
      </c>
      <c r="AM30" s="95">
        <v>4.53</v>
      </c>
      <c r="AN30" s="95">
        <v>4936</v>
      </c>
      <c r="AO30" s="95">
        <v>11.09</v>
      </c>
      <c r="AP30" s="145">
        <v>9388</v>
      </c>
      <c r="AQ30" s="145">
        <v>4999</v>
      </c>
      <c r="AR30" s="145">
        <v>4287</v>
      </c>
      <c r="AS30" s="145">
        <v>85.76</v>
      </c>
      <c r="AT30" s="148">
        <v>5490</v>
      </c>
      <c r="AU30" s="148">
        <v>2866</v>
      </c>
      <c r="AV30" s="148">
        <v>52.2</v>
      </c>
      <c r="AW30" s="145">
        <v>5373</v>
      </c>
      <c r="AX30" s="145">
        <v>4648</v>
      </c>
      <c r="AY30" s="145" t="s">
        <v>1695</v>
      </c>
      <c r="AZ30" s="145">
        <v>4482</v>
      </c>
      <c r="BA30" s="145">
        <v>96.43</v>
      </c>
      <c r="BB30" s="145">
        <v>4575</v>
      </c>
      <c r="BC30" s="145" t="s">
        <v>1696</v>
      </c>
      <c r="BD30" s="148">
        <v>4469</v>
      </c>
      <c r="BE30" s="148">
        <v>96.15</v>
      </c>
      <c r="BF30" s="145">
        <v>5163</v>
      </c>
      <c r="BG30" s="145">
        <v>5120</v>
      </c>
      <c r="BH30" s="145" t="s">
        <v>1603</v>
      </c>
      <c r="BI30" s="145">
        <v>48737</v>
      </c>
      <c r="BJ30" s="145">
        <v>48588</v>
      </c>
      <c r="BK30" s="145">
        <v>7014</v>
      </c>
      <c r="BL30" s="145">
        <v>7006</v>
      </c>
      <c r="BM30" s="145" t="s">
        <v>1452</v>
      </c>
      <c r="BN30" s="145">
        <v>4919</v>
      </c>
      <c r="BO30" s="145">
        <v>4847</v>
      </c>
      <c r="BP30" s="145">
        <v>47126</v>
      </c>
      <c r="BQ30" s="145">
        <v>46758</v>
      </c>
      <c r="BR30" s="145">
        <v>45483</v>
      </c>
      <c r="BS30" s="145" t="s">
        <v>1697</v>
      </c>
      <c r="BT30" s="145">
        <v>10082</v>
      </c>
      <c r="BU30" s="145">
        <v>9967</v>
      </c>
      <c r="BV30" s="145" t="s">
        <v>1495</v>
      </c>
      <c r="BW30" s="145">
        <v>54140</v>
      </c>
      <c r="BX30" s="145">
        <v>52489</v>
      </c>
      <c r="BY30" s="145" t="s">
        <v>1698</v>
      </c>
      <c r="BZ30" s="145">
        <v>64222</v>
      </c>
      <c r="CA30" s="145">
        <v>62456</v>
      </c>
      <c r="CB30" s="145" t="s">
        <v>1699</v>
      </c>
      <c r="CC30" s="95">
        <v>11707</v>
      </c>
      <c r="CD30" s="95">
        <v>500</v>
      </c>
      <c r="CE30" s="95">
        <v>4.2699999999999996</v>
      </c>
      <c r="CF30" s="95">
        <v>14179</v>
      </c>
      <c r="CG30" s="95">
        <v>913</v>
      </c>
      <c r="CH30" s="95">
        <v>6.44</v>
      </c>
      <c r="CI30" s="95">
        <v>67085</v>
      </c>
      <c r="CJ30" s="95">
        <v>2429</v>
      </c>
      <c r="CK30" s="95">
        <v>3.62</v>
      </c>
      <c r="CL30" s="145" t="s">
        <v>1441</v>
      </c>
      <c r="CM30" s="145">
        <v>73</v>
      </c>
      <c r="CN30" s="145">
        <v>3</v>
      </c>
      <c r="CO30" s="145" t="s">
        <v>1700</v>
      </c>
      <c r="CP30" s="145">
        <v>146</v>
      </c>
      <c r="CQ30" s="145">
        <v>13</v>
      </c>
      <c r="CR30" s="145" t="s">
        <v>1701</v>
      </c>
      <c r="CS30" s="145">
        <v>312</v>
      </c>
      <c r="CT30" s="145">
        <v>25</v>
      </c>
      <c r="CU30" s="145" t="s">
        <v>1702</v>
      </c>
      <c r="CV30" s="145">
        <v>458</v>
      </c>
      <c r="CW30" s="148">
        <v>38</v>
      </c>
      <c r="CX30" s="148">
        <v>8.3000000000000007</v>
      </c>
      <c r="CY30" s="109">
        <v>13522</v>
      </c>
      <c r="CZ30" s="95">
        <v>453</v>
      </c>
      <c r="DA30" s="95">
        <v>3.35</v>
      </c>
    </row>
    <row r="31" spans="1:105" x14ac:dyDescent="0.3">
      <c r="A31" s="104">
        <v>25</v>
      </c>
      <c r="B31" s="145" t="s">
        <v>304</v>
      </c>
      <c r="C31" s="145">
        <v>66484</v>
      </c>
      <c r="D31" s="145">
        <v>13909</v>
      </c>
      <c r="E31" s="145">
        <v>24220</v>
      </c>
      <c r="F31" s="145">
        <v>38133</v>
      </c>
      <c r="G31" s="145">
        <v>13239</v>
      </c>
      <c r="H31" s="145" t="s">
        <v>1703</v>
      </c>
      <c r="I31" s="145">
        <v>23075</v>
      </c>
      <c r="J31" s="145" t="s">
        <v>1704</v>
      </c>
      <c r="K31" s="145">
        <v>36315</v>
      </c>
      <c r="L31" s="145">
        <v>95.23</v>
      </c>
      <c r="M31" s="145">
        <v>13251</v>
      </c>
      <c r="N31" s="145" t="s">
        <v>1704</v>
      </c>
      <c r="O31" s="145">
        <v>23117</v>
      </c>
      <c r="P31" s="145" t="s">
        <v>1705</v>
      </c>
      <c r="Q31" s="145">
        <v>36366</v>
      </c>
      <c r="R31" s="145" t="s">
        <v>1520</v>
      </c>
      <c r="S31" s="145">
        <v>13247</v>
      </c>
      <c r="T31" s="145" t="s">
        <v>1706</v>
      </c>
      <c r="U31" s="145">
        <v>23095</v>
      </c>
      <c r="V31" s="145" t="s">
        <v>1707</v>
      </c>
      <c r="W31" s="149">
        <v>36341</v>
      </c>
      <c r="X31" s="145">
        <v>95.3</v>
      </c>
      <c r="Y31" s="145">
        <v>38041</v>
      </c>
      <c r="Z31" s="145" t="s">
        <v>1517</v>
      </c>
      <c r="AA31" s="145">
        <v>18705</v>
      </c>
      <c r="AB31" s="148">
        <v>15743</v>
      </c>
      <c r="AC31" s="99">
        <f t="shared" si="0"/>
        <v>43.320216834979774</v>
      </c>
      <c r="AD31" s="145">
        <v>1368</v>
      </c>
      <c r="AE31" s="145">
        <v>528</v>
      </c>
      <c r="AF31" s="145">
        <v>34446</v>
      </c>
      <c r="AG31" s="145" t="s">
        <v>1708</v>
      </c>
      <c r="AH31" s="134">
        <v>3533</v>
      </c>
      <c r="AI31" s="108">
        <v>9.7200000000000006</v>
      </c>
      <c r="AJ31" s="95">
        <v>1675</v>
      </c>
      <c r="AK31" s="95">
        <v>4.6100000000000003</v>
      </c>
      <c r="AL31" s="95">
        <v>1482</v>
      </c>
      <c r="AM31" s="95">
        <v>4.08</v>
      </c>
      <c r="AN31" s="95">
        <v>3681</v>
      </c>
      <c r="AO31" s="95">
        <v>10.14</v>
      </c>
      <c r="AP31" s="145">
        <v>8523</v>
      </c>
      <c r="AQ31" s="145">
        <v>7098</v>
      </c>
      <c r="AR31" s="145">
        <v>6441</v>
      </c>
      <c r="AS31" s="145">
        <v>90.74</v>
      </c>
      <c r="AT31" s="148">
        <v>4999</v>
      </c>
      <c r="AU31" s="148">
        <v>3234</v>
      </c>
      <c r="AV31" s="148">
        <v>64.69</v>
      </c>
      <c r="AW31" s="145">
        <v>5129</v>
      </c>
      <c r="AX31" s="145">
        <v>4434</v>
      </c>
      <c r="AY31" s="145" t="s">
        <v>1709</v>
      </c>
      <c r="AZ31" s="145">
        <v>4235</v>
      </c>
      <c r="BA31" s="145">
        <v>95.51</v>
      </c>
      <c r="BB31" s="145">
        <v>4346</v>
      </c>
      <c r="BC31" s="145" t="s">
        <v>507</v>
      </c>
      <c r="BD31" s="148">
        <v>4193</v>
      </c>
      <c r="BE31" s="148">
        <v>94.56</v>
      </c>
      <c r="BF31" s="145">
        <v>4483</v>
      </c>
      <c r="BG31" s="145">
        <v>4478</v>
      </c>
      <c r="BH31" s="145" t="s">
        <v>1452</v>
      </c>
      <c r="BI31" s="145">
        <v>39028</v>
      </c>
      <c r="BJ31" s="145">
        <v>39021</v>
      </c>
      <c r="BK31" s="145">
        <v>5867</v>
      </c>
      <c r="BL31" s="145">
        <v>5865</v>
      </c>
      <c r="BM31" s="145" t="s">
        <v>1221</v>
      </c>
      <c r="BN31" s="145">
        <v>4411</v>
      </c>
      <c r="BO31" s="145">
        <v>4382</v>
      </c>
      <c r="BP31" s="145">
        <v>38304</v>
      </c>
      <c r="BQ31" s="145">
        <v>38216</v>
      </c>
      <c r="BR31" s="145">
        <v>37662</v>
      </c>
      <c r="BS31" s="145" t="s">
        <v>527</v>
      </c>
      <c r="BT31" s="145">
        <v>8894</v>
      </c>
      <c r="BU31" s="145">
        <v>8860</v>
      </c>
      <c r="BV31" s="145" t="s">
        <v>871</v>
      </c>
      <c r="BW31" s="145">
        <v>44171</v>
      </c>
      <c r="BX31" s="145">
        <v>43527</v>
      </c>
      <c r="BY31" s="145" t="s">
        <v>1674</v>
      </c>
      <c r="BZ31" s="145">
        <v>53065</v>
      </c>
      <c r="CA31" s="145">
        <v>52387</v>
      </c>
      <c r="CB31" s="145" t="s">
        <v>1710</v>
      </c>
      <c r="CC31" s="95">
        <v>8577</v>
      </c>
      <c r="CD31" s="95">
        <v>1548</v>
      </c>
      <c r="CE31" s="95">
        <v>18.05</v>
      </c>
      <c r="CF31" s="95">
        <v>13059</v>
      </c>
      <c r="CG31" s="95">
        <v>1023</v>
      </c>
      <c r="CH31" s="95">
        <v>7.83</v>
      </c>
      <c r="CI31" s="95">
        <v>64466</v>
      </c>
      <c r="CJ31" s="95">
        <v>1406</v>
      </c>
      <c r="CK31" s="95">
        <v>2.1800000000000002</v>
      </c>
      <c r="CL31" s="145" t="s">
        <v>1441</v>
      </c>
      <c r="CM31" s="145">
        <v>46</v>
      </c>
      <c r="CN31" s="145">
        <v>6</v>
      </c>
      <c r="CO31" s="145" t="s">
        <v>1711</v>
      </c>
      <c r="CP31" s="145">
        <v>88</v>
      </c>
      <c r="CQ31" s="145">
        <v>24</v>
      </c>
      <c r="CR31" s="145" t="s">
        <v>1712</v>
      </c>
      <c r="CS31" s="145">
        <v>217</v>
      </c>
      <c r="CT31" s="145">
        <v>39</v>
      </c>
      <c r="CU31" s="145" t="s">
        <v>679</v>
      </c>
      <c r="CV31" s="145">
        <v>305</v>
      </c>
      <c r="CW31" s="148">
        <v>63</v>
      </c>
      <c r="CX31" s="148">
        <v>20.66</v>
      </c>
      <c r="CY31" s="109">
        <v>9238</v>
      </c>
      <c r="CZ31" s="95">
        <v>23</v>
      </c>
      <c r="DA31" s="95">
        <v>0.25</v>
      </c>
    </row>
    <row r="32" spans="1:105" x14ac:dyDescent="0.3">
      <c r="A32" s="104">
        <v>26</v>
      </c>
      <c r="B32" s="145" t="s">
        <v>305</v>
      </c>
      <c r="C32" s="145">
        <v>70219</v>
      </c>
      <c r="D32" s="145">
        <v>15797</v>
      </c>
      <c r="E32" s="145">
        <v>28704</v>
      </c>
      <c r="F32" s="145">
        <v>44512</v>
      </c>
      <c r="G32" s="145">
        <v>14733</v>
      </c>
      <c r="H32" s="145" t="s">
        <v>1713</v>
      </c>
      <c r="I32" s="145">
        <v>27522</v>
      </c>
      <c r="J32" s="145" t="s">
        <v>1714</v>
      </c>
      <c r="K32" s="145">
        <v>42261</v>
      </c>
      <c r="L32" s="145">
        <v>94.94</v>
      </c>
      <c r="M32" s="145">
        <v>14722</v>
      </c>
      <c r="N32" s="145" t="s">
        <v>445</v>
      </c>
      <c r="O32" s="145">
        <v>27513</v>
      </c>
      <c r="P32" s="145" t="s">
        <v>489</v>
      </c>
      <c r="Q32" s="145">
        <v>42245</v>
      </c>
      <c r="R32" s="145" t="s">
        <v>386</v>
      </c>
      <c r="S32" s="145">
        <v>14719</v>
      </c>
      <c r="T32" s="145" t="s">
        <v>1715</v>
      </c>
      <c r="U32" s="145">
        <v>27514</v>
      </c>
      <c r="V32" s="145" t="s">
        <v>489</v>
      </c>
      <c r="W32" s="149">
        <v>42241</v>
      </c>
      <c r="X32" s="145">
        <v>94.9</v>
      </c>
      <c r="Y32" s="145">
        <v>44383</v>
      </c>
      <c r="Z32" s="145" t="s">
        <v>1716</v>
      </c>
      <c r="AA32" s="145">
        <v>23320</v>
      </c>
      <c r="AB32" s="148">
        <v>16435</v>
      </c>
      <c r="AC32" s="99">
        <f t="shared" si="0"/>
        <v>38.907696314007715</v>
      </c>
      <c r="AD32" s="145">
        <v>1946</v>
      </c>
      <c r="AE32" s="145">
        <v>436</v>
      </c>
      <c r="AF32" s="145">
        <v>39759</v>
      </c>
      <c r="AG32" s="145" t="s">
        <v>1226</v>
      </c>
      <c r="AH32" s="134">
        <v>3267</v>
      </c>
      <c r="AI32" s="108">
        <v>7.73</v>
      </c>
      <c r="AJ32" s="95">
        <v>2545</v>
      </c>
      <c r="AK32" s="95">
        <v>6.02</v>
      </c>
      <c r="AL32" s="95">
        <v>1045</v>
      </c>
      <c r="AM32" s="95">
        <v>2.4700000000000002</v>
      </c>
      <c r="AN32" s="95">
        <v>4460</v>
      </c>
      <c r="AO32" s="95">
        <v>10.55</v>
      </c>
      <c r="AP32" s="145">
        <v>9608</v>
      </c>
      <c r="AQ32" s="145">
        <v>6557</v>
      </c>
      <c r="AR32" s="145">
        <v>6088</v>
      </c>
      <c r="AS32" s="145">
        <v>92.85</v>
      </c>
      <c r="AT32" s="148">
        <v>5689</v>
      </c>
      <c r="AU32" s="148">
        <v>3780</v>
      </c>
      <c r="AV32" s="148">
        <v>66.44</v>
      </c>
      <c r="AW32" s="145">
        <v>5569</v>
      </c>
      <c r="AX32" s="145">
        <v>4765</v>
      </c>
      <c r="AY32" s="145" t="s">
        <v>1717</v>
      </c>
      <c r="AZ32" s="145">
        <v>4527</v>
      </c>
      <c r="BA32" s="145">
        <v>95.01</v>
      </c>
      <c r="BB32" s="145">
        <v>4688</v>
      </c>
      <c r="BC32" s="145" t="s">
        <v>1638</v>
      </c>
      <c r="BD32" s="148">
        <v>4508</v>
      </c>
      <c r="BE32" s="148">
        <v>94.61</v>
      </c>
      <c r="BF32" s="145">
        <v>5319</v>
      </c>
      <c r="BG32" s="145">
        <v>5208</v>
      </c>
      <c r="BH32" s="145" t="s">
        <v>446</v>
      </c>
      <c r="BI32" s="145">
        <v>49506</v>
      </c>
      <c r="BJ32" s="145">
        <v>48228</v>
      </c>
      <c r="BK32" s="145">
        <v>6918</v>
      </c>
      <c r="BL32" s="145">
        <v>6781</v>
      </c>
      <c r="BM32" s="145" t="s">
        <v>507</v>
      </c>
      <c r="BN32" s="145">
        <v>5380</v>
      </c>
      <c r="BO32" s="145">
        <v>4844</v>
      </c>
      <c r="BP32" s="145">
        <v>47869</v>
      </c>
      <c r="BQ32" s="145">
        <v>47163</v>
      </c>
      <c r="BR32" s="145">
        <v>45588</v>
      </c>
      <c r="BS32" s="145" t="s">
        <v>1637</v>
      </c>
      <c r="BT32" s="145">
        <v>10699</v>
      </c>
      <c r="BU32" s="145">
        <v>10052</v>
      </c>
      <c r="BV32" s="145" t="s">
        <v>1718</v>
      </c>
      <c r="BW32" s="145">
        <v>54787</v>
      </c>
      <c r="BX32" s="145">
        <v>52369</v>
      </c>
      <c r="BY32" s="145" t="s">
        <v>1458</v>
      </c>
      <c r="BZ32" s="145">
        <v>65486</v>
      </c>
      <c r="CA32" s="145">
        <v>62421</v>
      </c>
      <c r="CB32" s="145" t="s">
        <v>672</v>
      </c>
      <c r="CC32" s="95">
        <v>12125</v>
      </c>
      <c r="CD32" s="95">
        <v>492</v>
      </c>
      <c r="CE32" s="95">
        <v>4.0599999999999996</v>
      </c>
      <c r="CF32" s="95">
        <v>13386</v>
      </c>
      <c r="CG32" s="95">
        <v>118</v>
      </c>
      <c r="CH32" s="95">
        <v>0.88</v>
      </c>
      <c r="CI32" s="95">
        <v>56554</v>
      </c>
      <c r="CJ32" s="95">
        <v>412</v>
      </c>
      <c r="CK32" s="95">
        <v>0.73</v>
      </c>
      <c r="CL32" s="145" t="s">
        <v>1441</v>
      </c>
      <c r="CM32" s="145">
        <v>14</v>
      </c>
      <c r="CN32" s="145">
        <v>39</v>
      </c>
      <c r="CO32" s="146" t="s">
        <v>1719</v>
      </c>
      <c r="CP32" s="145">
        <v>127</v>
      </c>
      <c r="CQ32" s="145">
        <v>112</v>
      </c>
      <c r="CR32" s="145" t="s">
        <v>1720</v>
      </c>
      <c r="CS32" s="145">
        <v>173</v>
      </c>
      <c r="CT32" s="145">
        <v>135</v>
      </c>
      <c r="CU32" s="145" t="s">
        <v>1721</v>
      </c>
      <c r="CV32" s="145">
        <v>300</v>
      </c>
      <c r="CW32" s="148">
        <v>247</v>
      </c>
      <c r="CX32" s="148">
        <v>82.33</v>
      </c>
      <c r="CY32" s="109">
        <v>8299</v>
      </c>
      <c r="CZ32" s="95">
        <v>1112</v>
      </c>
      <c r="DA32" s="95">
        <v>13.4</v>
      </c>
    </row>
    <row r="33" spans="1:105" x14ac:dyDescent="0.3">
      <c r="A33" s="104">
        <v>27</v>
      </c>
      <c r="B33" s="145" t="s">
        <v>306</v>
      </c>
      <c r="C33" s="145">
        <v>129907</v>
      </c>
      <c r="D33" s="145">
        <v>21574</v>
      </c>
      <c r="E33" s="145">
        <v>42401</v>
      </c>
      <c r="F33" s="145">
        <v>63979</v>
      </c>
      <c r="G33" s="145">
        <v>20954</v>
      </c>
      <c r="H33" s="145" t="s">
        <v>1722</v>
      </c>
      <c r="I33" s="145">
        <v>41978</v>
      </c>
      <c r="J33" s="145">
        <v>99</v>
      </c>
      <c r="K33" s="145">
        <v>62924</v>
      </c>
      <c r="L33" s="145">
        <v>98.35</v>
      </c>
      <c r="M33" s="145">
        <v>20946</v>
      </c>
      <c r="N33" s="145" t="s">
        <v>1723</v>
      </c>
      <c r="O33" s="145">
        <v>42012</v>
      </c>
      <c r="P33" s="145" t="s">
        <v>1689</v>
      </c>
      <c r="Q33" s="145">
        <v>62948</v>
      </c>
      <c r="R33" s="145" t="s">
        <v>1724</v>
      </c>
      <c r="S33" s="145">
        <v>20932</v>
      </c>
      <c r="T33" s="145" t="s">
        <v>1476</v>
      </c>
      <c r="U33" s="145">
        <v>41957</v>
      </c>
      <c r="V33" s="145" t="s">
        <v>1451</v>
      </c>
      <c r="W33" s="149">
        <v>62884</v>
      </c>
      <c r="X33" s="145">
        <v>98.29</v>
      </c>
      <c r="Y33" s="145">
        <v>63361</v>
      </c>
      <c r="Z33" s="145" t="s">
        <v>1644</v>
      </c>
      <c r="AA33" s="145">
        <v>32497</v>
      </c>
      <c r="AB33" s="148">
        <v>28418</v>
      </c>
      <c r="AC33" s="99">
        <f t="shared" si="0"/>
        <v>45.19114560142485</v>
      </c>
      <c r="AD33" s="145">
        <v>1517</v>
      </c>
      <c r="AE33" s="145">
        <v>535</v>
      </c>
      <c r="AF33" s="145">
        <v>60900</v>
      </c>
      <c r="AG33" s="145" t="s">
        <v>1725</v>
      </c>
      <c r="AH33" s="134">
        <v>6028</v>
      </c>
      <c r="AI33" s="108">
        <v>9.59</v>
      </c>
      <c r="AJ33" s="95">
        <v>3618</v>
      </c>
      <c r="AK33" s="95">
        <v>5.75</v>
      </c>
      <c r="AL33" s="95">
        <v>1672</v>
      </c>
      <c r="AM33" s="95">
        <v>2.66</v>
      </c>
      <c r="AN33" s="95">
        <v>5501</v>
      </c>
      <c r="AO33" s="95">
        <v>8.74</v>
      </c>
      <c r="AP33" s="145">
        <v>11881</v>
      </c>
      <c r="AQ33" s="145">
        <v>6762</v>
      </c>
      <c r="AR33" s="145">
        <v>5316</v>
      </c>
      <c r="AS33" s="145">
        <v>78.62</v>
      </c>
      <c r="AT33" s="148">
        <v>7425</v>
      </c>
      <c r="AU33" s="148">
        <v>3404</v>
      </c>
      <c r="AV33" s="148">
        <v>45.85</v>
      </c>
      <c r="AW33" s="145">
        <v>7448</v>
      </c>
      <c r="AX33" s="145">
        <v>5678</v>
      </c>
      <c r="AY33" s="145" t="s">
        <v>1726</v>
      </c>
      <c r="AZ33" s="145">
        <v>5591</v>
      </c>
      <c r="BA33" s="145">
        <v>98.47</v>
      </c>
      <c r="BB33" s="145">
        <v>5623</v>
      </c>
      <c r="BC33" s="145" t="s">
        <v>1644</v>
      </c>
      <c r="BD33" s="148">
        <v>5580</v>
      </c>
      <c r="BE33" s="148">
        <v>98.27</v>
      </c>
      <c r="BF33" s="145">
        <v>6363</v>
      </c>
      <c r="BG33" s="145">
        <v>5741</v>
      </c>
      <c r="BH33" s="145" t="s">
        <v>1727</v>
      </c>
      <c r="BI33" s="145">
        <v>67920</v>
      </c>
      <c r="BJ33" s="145">
        <v>65100</v>
      </c>
      <c r="BK33" s="145">
        <v>9968</v>
      </c>
      <c r="BL33" s="145">
        <v>9548</v>
      </c>
      <c r="BM33" s="145" t="s">
        <v>1091</v>
      </c>
      <c r="BN33" s="145">
        <v>7065</v>
      </c>
      <c r="BO33" s="145">
        <v>6717</v>
      </c>
      <c r="BP33" s="145">
        <v>66531</v>
      </c>
      <c r="BQ33" s="145">
        <v>66062</v>
      </c>
      <c r="BR33" s="145">
        <v>60760</v>
      </c>
      <c r="BS33" s="145" t="s">
        <v>1728</v>
      </c>
      <c r="BT33" s="145">
        <v>13428</v>
      </c>
      <c r="BU33" s="145">
        <v>12458</v>
      </c>
      <c r="BV33" s="145" t="s">
        <v>1729</v>
      </c>
      <c r="BW33" s="145">
        <v>76499</v>
      </c>
      <c r="BX33" s="145">
        <v>70308</v>
      </c>
      <c r="BY33" s="145" t="s">
        <v>1730</v>
      </c>
      <c r="BZ33" s="145">
        <v>89927</v>
      </c>
      <c r="CA33" s="145">
        <v>82766</v>
      </c>
      <c r="CB33" s="145" t="s">
        <v>1731</v>
      </c>
      <c r="CC33" s="95">
        <v>17977</v>
      </c>
      <c r="CD33" s="95">
        <v>369</v>
      </c>
      <c r="CE33" s="95">
        <v>2.0499999999999998</v>
      </c>
      <c r="CF33" s="95">
        <v>16780</v>
      </c>
      <c r="CG33" s="95">
        <v>700</v>
      </c>
      <c r="CH33" s="95">
        <v>4.17</v>
      </c>
      <c r="CI33" s="95">
        <v>106661</v>
      </c>
      <c r="CJ33" s="95">
        <v>884</v>
      </c>
      <c r="CK33" s="95">
        <v>0.83</v>
      </c>
      <c r="CL33" s="145" t="s">
        <v>1441</v>
      </c>
      <c r="CM33" s="145">
        <v>59</v>
      </c>
      <c r="CN33" s="145">
        <v>19</v>
      </c>
      <c r="CO33" s="145" t="s">
        <v>1732</v>
      </c>
      <c r="CP33" s="145">
        <v>238</v>
      </c>
      <c r="CQ33" s="145">
        <v>91</v>
      </c>
      <c r="CR33" s="145" t="s">
        <v>1733</v>
      </c>
      <c r="CS33" s="145">
        <v>512</v>
      </c>
      <c r="CT33" s="145">
        <v>157</v>
      </c>
      <c r="CU33" s="145" t="s">
        <v>1734</v>
      </c>
      <c r="CV33" s="145">
        <v>750</v>
      </c>
      <c r="CW33" s="148">
        <v>248</v>
      </c>
      <c r="CX33" s="148">
        <v>33.07</v>
      </c>
      <c r="CY33" s="109">
        <v>12293</v>
      </c>
      <c r="CZ33" s="95">
        <v>12</v>
      </c>
      <c r="DA33" s="95">
        <v>0.1</v>
      </c>
    </row>
    <row r="34" spans="1:105" x14ac:dyDescent="0.3">
      <c r="A34" s="104">
        <v>28</v>
      </c>
      <c r="B34" s="145" t="s">
        <v>308</v>
      </c>
      <c r="C34" s="145">
        <v>136099</v>
      </c>
      <c r="D34" s="145">
        <v>25878</v>
      </c>
      <c r="E34" s="145">
        <v>45735</v>
      </c>
      <c r="F34" s="145">
        <v>71622</v>
      </c>
      <c r="G34" s="145">
        <v>24128</v>
      </c>
      <c r="H34" s="145" t="s">
        <v>1735</v>
      </c>
      <c r="I34" s="145">
        <v>43971</v>
      </c>
      <c r="J34" s="145" t="s">
        <v>1736</v>
      </c>
      <c r="K34" s="145">
        <v>68101</v>
      </c>
      <c r="L34" s="145">
        <v>95.08</v>
      </c>
      <c r="M34" s="145">
        <v>24120</v>
      </c>
      <c r="N34" s="145" t="s">
        <v>1737</v>
      </c>
      <c r="O34" s="145">
        <v>43971</v>
      </c>
      <c r="P34" s="145" t="s">
        <v>1736</v>
      </c>
      <c r="Q34" s="145">
        <v>68097</v>
      </c>
      <c r="R34" s="145" t="s">
        <v>1532</v>
      </c>
      <c r="S34" s="145">
        <v>24121</v>
      </c>
      <c r="T34" s="145" t="s">
        <v>1737</v>
      </c>
      <c r="U34" s="145">
        <v>43912</v>
      </c>
      <c r="V34" s="145" t="s">
        <v>1738</v>
      </c>
      <c r="W34" s="149">
        <v>68037</v>
      </c>
      <c r="X34" s="145">
        <v>94.99</v>
      </c>
      <c r="Y34" s="145">
        <v>71200</v>
      </c>
      <c r="Z34" s="145" t="s">
        <v>535</v>
      </c>
      <c r="AA34" s="145">
        <v>35444</v>
      </c>
      <c r="AB34" s="148">
        <v>29802</v>
      </c>
      <c r="AC34" s="99">
        <f t="shared" si="0"/>
        <v>43.8026368005644</v>
      </c>
      <c r="AD34" s="145">
        <v>2028</v>
      </c>
      <c r="AE34" s="145">
        <v>835</v>
      </c>
      <c r="AF34" s="145">
        <v>65249</v>
      </c>
      <c r="AG34" s="145" t="s">
        <v>1739</v>
      </c>
      <c r="AH34" s="134">
        <v>10044</v>
      </c>
      <c r="AI34" s="108">
        <v>14.76</v>
      </c>
      <c r="AJ34" s="95">
        <v>4494</v>
      </c>
      <c r="AK34" s="95">
        <v>6.6</v>
      </c>
      <c r="AL34" s="95">
        <v>1860</v>
      </c>
      <c r="AM34" s="95">
        <v>2.73</v>
      </c>
      <c r="AN34" s="95">
        <v>8705</v>
      </c>
      <c r="AO34" s="95">
        <v>12.78</v>
      </c>
      <c r="AP34" s="145">
        <v>15809</v>
      </c>
      <c r="AQ34" s="145">
        <v>12781</v>
      </c>
      <c r="AR34" s="145">
        <v>11937</v>
      </c>
      <c r="AS34" s="145">
        <v>93.4</v>
      </c>
      <c r="AT34" s="148">
        <v>8938</v>
      </c>
      <c r="AU34" s="148">
        <v>6911</v>
      </c>
      <c r="AV34" s="148">
        <v>77.319999999999993</v>
      </c>
      <c r="AW34" s="145">
        <v>8995</v>
      </c>
      <c r="AX34" s="145">
        <v>7179</v>
      </c>
      <c r="AY34" s="145" t="s">
        <v>1740</v>
      </c>
      <c r="AZ34" s="145">
        <v>6846</v>
      </c>
      <c r="BA34" s="145">
        <v>95.36</v>
      </c>
      <c r="BB34" s="145">
        <v>6981</v>
      </c>
      <c r="BC34" s="145" t="s">
        <v>530</v>
      </c>
      <c r="BD34" s="148">
        <v>6793</v>
      </c>
      <c r="BE34" s="148">
        <v>94.62</v>
      </c>
      <c r="BF34" s="145">
        <v>8357</v>
      </c>
      <c r="BG34" s="145">
        <v>8211</v>
      </c>
      <c r="BH34" s="145" t="s">
        <v>1741</v>
      </c>
      <c r="BI34" s="145">
        <v>75503</v>
      </c>
      <c r="BJ34" s="145">
        <v>74423</v>
      </c>
      <c r="BK34" s="145">
        <v>10755</v>
      </c>
      <c r="BL34" s="145">
        <v>10526</v>
      </c>
      <c r="BM34" s="145" t="s">
        <v>1558</v>
      </c>
      <c r="BN34" s="145">
        <v>8083</v>
      </c>
      <c r="BO34" s="145">
        <v>7941</v>
      </c>
      <c r="BP34" s="145">
        <v>72718</v>
      </c>
      <c r="BQ34" s="145">
        <v>71608</v>
      </c>
      <c r="BR34" s="145">
        <v>70027</v>
      </c>
      <c r="BS34" s="145" t="s">
        <v>1742</v>
      </c>
      <c r="BT34" s="145">
        <v>16440</v>
      </c>
      <c r="BU34" s="145">
        <v>16152</v>
      </c>
      <c r="BV34" s="145" t="s">
        <v>1741</v>
      </c>
      <c r="BW34" s="145">
        <v>83473</v>
      </c>
      <c r="BX34" s="145">
        <v>80553</v>
      </c>
      <c r="BY34" s="145" t="s">
        <v>1647</v>
      </c>
      <c r="BZ34" s="145">
        <v>99913</v>
      </c>
      <c r="CA34" s="145">
        <v>96705</v>
      </c>
      <c r="CB34" s="145" t="s">
        <v>1507</v>
      </c>
      <c r="CC34" s="95">
        <v>26537</v>
      </c>
      <c r="CD34" s="95">
        <v>787</v>
      </c>
      <c r="CE34" s="95">
        <v>2.97</v>
      </c>
      <c r="CF34" s="95">
        <v>36263</v>
      </c>
      <c r="CG34" s="95">
        <v>1058</v>
      </c>
      <c r="CH34" s="95">
        <v>2.92</v>
      </c>
      <c r="CI34" s="95">
        <v>140410</v>
      </c>
      <c r="CJ34" s="95">
        <v>4265</v>
      </c>
      <c r="CK34" s="95">
        <v>3.04</v>
      </c>
      <c r="CL34" s="145" t="s">
        <v>1441</v>
      </c>
      <c r="CM34" s="145">
        <v>119</v>
      </c>
      <c r="CN34" s="145">
        <v>90</v>
      </c>
      <c r="CO34" s="145" t="s">
        <v>1743</v>
      </c>
      <c r="CP34" s="145">
        <v>485</v>
      </c>
      <c r="CQ34" s="145">
        <v>276</v>
      </c>
      <c r="CR34" s="145" t="s">
        <v>286</v>
      </c>
      <c r="CS34" s="145">
        <v>763</v>
      </c>
      <c r="CT34" s="145">
        <v>469</v>
      </c>
      <c r="CU34" s="145" t="s">
        <v>1744</v>
      </c>
      <c r="CV34" s="145">
        <v>1248</v>
      </c>
      <c r="CW34" s="148">
        <v>745</v>
      </c>
      <c r="CX34" s="148">
        <v>59.7</v>
      </c>
      <c r="CY34" s="109">
        <v>19122</v>
      </c>
      <c r="CZ34" s="95">
        <v>236</v>
      </c>
      <c r="DA34" s="95">
        <v>1.23</v>
      </c>
    </row>
    <row r="35" spans="1:105" x14ac:dyDescent="0.3">
      <c r="A35" s="104">
        <v>29</v>
      </c>
      <c r="B35" s="145" t="s">
        <v>309</v>
      </c>
      <c r="C35" s="145">
        <v>162589</v>
      </c>
      <c r="D35" s="145">
        <v>29056</v>
      </c>
      <c r="E35" s="145">
        <v>53714</v>
      </c>
      <c r="F35" s="145">
        <v>82772</v>
      </c>
      <c r="G35" s="145">
        <v>26292</v>
      </c>
      <c r="H35" s="145" t="s">
        <v>1745</v>
      </c>
      <c r="I35" s="145">
        <v>47727</v>
      </c>
      <c r="J35" s="145" t="s">
        <v>1746</v>
      </c>
      <c r="K35" s="145">
        <v>74016</v>
      </c>
      <c r="L35" s="145">
        <v>89.42</v>
      </c>
      <c r="M35" s="145">
        <v>26279</v>
      </c>
      <c r="N35" s="145" t="s">
        <v>1747</v>
      </c>
      <c r="O35" s="145">
        <v>47791</v>
      </c>
      <c r="P35" s="145" t="s">
        <v>1748</v>
      </c>
      <c r="Q35" s="145">
        <v>74069</v>
      </c>
      <c r="R35" s="145" t="s">
        <v>1749</v>
      </c>
      <c r="S35" s="145">
        <v>26296</v>
      </c>
      <c r="T35" s="145" t="s">
        <v>1750</v>
      </c>
      <c r="U35" s="145">
        <v>47791</v>
      </c>
      <c r="V35" s="145" t="s">
        <v>1748</v>
      </c>
      <c r="W35" s="149">
        <v>74086</v>
      </c>
      <c r="X35" s="145">
        <v>89.51</v>
      </c>
      <c r="Y35" s="145">
        <v>82590</v>
      </c>
      <c r="Z35" s="145" t="s">
        <v>1448</v>
      </c>
      <c r="AA35" s="145">
        <v>36666</v>
      </c>
      <c r="AB35" s="148">
        <v>32236</v>
      </c>
      <c r="AC35" s="99">
        <f t="shared" si="0"/>
        <v>43.511594633264046</v>
      </c>
      <c r="AD35" s="145">
        <v>4560</v>
      </c>
      <c r="AE35" s="145">
        <v>560</v>
      </c>
      <c r="AF35" s="145">
        <v>68903</v>
      </c>
      <c r="AG35" s="145" t="s">
        <v>1751</v>
      </c>
      <c r="AH35" s="134">
        <v>8891</v>
      </c>
      <c r="AI35" s="108">
        <v>12</v>
      </c>
      <c r="AJ35" s="95">
        <v>4649</v>
      </c>
      <c r="AK35" s="95">
        <v>6.28</v>
      </c>
      <c r="AL35" s="95">
        <v>1979</v>
      </c>
      <c r="AM35" s="95">
        <v>2.67</v>
      </c>
      <c r="AN35" s="95">
        <v>8538</v>
      </c>
      <c r="AO35" s="95">
        <v>11.54</v>
      </c>
      <c r="AP35" s="145">
        <v>15402</v>
      </c>
      <c r="AQ35" s="145">
        <v>4804</v>
      </c>
      <c r="AR35" s="145">
        <v>4448</v>
      </c>
      <c r="AS35" s="145">
        <v>92.59</v>
      </c>
      <c r="AT35" s="148">
        <v>10027</v>
      </c>
      <c r="AU35" s="148">
        <v>2434</v>
      </c>
      <c r="AV35" s="148">
        <v>24.27</v>
      </c>
      <c r="AW35" s="145">
        <v>10079</v>
      </c>
      <c r="AX35" s="145">
        <v>1126</v>
      </c>
      <c r="AY35" s="145" t="s">
        <v>500</v>
      </c>
      <c r="AZ35" s="145">
        <v>954</v>
      </c>
      <c r="BA35" s="145">
        <v>84.72</v>
      </c>
      <c r="BB35" s="145">
        <v>1083</v>
      </c>
      <c r="BC35" s="145" t="s">
        <v>1752</v>
      </c>
      <c r="BD35" s="148">
        <v>949</v>
      </c>
      <c r="BE35" s="148">
        <v>84.28</v>
      </c>
      <c r="BF35" s="145">
        <v>9443</v>
      </c>
      <c r="BG35" s="145">
        <v>7769</v>
      </c>
      <c r="BH35" s="145" t="s">
        <v>1753</v>
      </c>
      <c r="BI35" s="145">
        <v>88422</v>
      </c>
      <c r="BJ35" s="145">
        <v>75734</v>
      </c>
      <c r="BK35" s="145">
        <v>12056</v>
      </c>
      <c r="BL35" s="145">
        <v>10062</v>
      </c>
      <c r="BM35" s="145" t="s">
        <v>1754</v>
      </c>
      <c r="BN35" s="145">
        <v>9431</v>
      </c>
      <c r="BO35" s="145">
        <v>8703</v>
      </c>
      <c r="BP35" s="145">
        <v>87632</v>
      </c>
      <c r="BQ35" s="145">
        <v>82286</v>
      </c>
      <c r="BR35" s="145">
        <v>70924</v>
      </c>
      <c r="BS35" s="145" t="s">
        <v>1755</v>
      </c>
      <c r="BT35" s="145">
        <v>18874</v>
      </c>
      <c r="BU35" s="145">
        <v>16472</v>
      </c>
      <c r="BV35" s="145" t="s">
        <v>1756</v>
      </c>
      <c r="BW35" s="145">
        <v>99688</v>
      </c>
      <c r="BX35" s="145">
        <v>80986</v>
      </c>
      <c r="BY35" s="145" t="s">
        <v>1757</v>
      </c>
      <c r="BZ35" s="145">
        <v>118562</v>
      </c>
      <c r="CA35" s="145">
        <v>97458</v>
      </c>
      <c r="CB35" s="145" t="s">
        <v>1758</v>
      </c>
      <c r="CC35" s="95">
        <v>21515</v>
      </c>
      <c r="CD35" s="95">
        <v>1082</v>
      </c>
      <c r="CE35" s="95">
        <v>5.03</v>
      </c>
      <c r="CF35" s="95">
        <v>26180</v>
      </c>
      <c r="CG35" s="95">
        <v>712</v>
      </c>
      <c r="CH35" s="95">
        <v>2.72</v>
      </c>
      <c r="CI35" s="95">
        <v>120981</v>
      </c>
      <c r="CJ35" s="95">
        <v>3350</v>
      </c>
      <c r="CK35" s="95">
        <v>2.77</v>
      </c>
      <c r="CL35" s="145" t="s">
        <v>1441</v>
      </c>
      <c r="CM35" s="145">
        <v>55</v>
      </c>
      <c r="CN35" s="145">
        <v>2</v>
      </c>
      <c r="CO35" s="145" t="s">
        <v>1759</v>
      </c>
      <c r="CP35" s="145">
        <v>256</v>
      </c>
      <c r="CQ35" s="145">
        <v>59</v>
      </c>
      <c r="CR35" s="145" t="s">
        <v>1760</v>
      </c>
      <c r="CS35" s="145">
        <v>436</v>
      </c>
      <c r="CT35" s="145">
        <v>63</v>
      </c>
      <c r="CU35" s="145" t="s">
        <v>1255</v>
      </c>
      <c r="CV35" s="145">
        <v>692</v>
      </c>
      <c r="CW35" s="148">
        <v>122</v>
      </c>
      <c r="CX35" s="148">
        <v>17.63</v>
      </c>
      <c r="CY35" s="109">
        <v>13868</v>
      </c>
      <c r="CZ35" s="95">
        <v>106</v>
      </c>
      <c r="DA35" s="95">
        <v>0.76</v>
      </c>
    </row>
    <row r="36" spans="1:105" x14ac:dyDescent="0.3">
      <c r="A36" s="104">
        <v>30</v>
      </c>
      <c r="B36" s="145" t="s">
        <v>4</v>
      </c>
      <c r="C36" s="145">
        <v>6976</v>
      </c>
      <c r="D36" s="145">
        <v>1134</v>
      </c>
      <c r="E36" s="145">
        <v>2164</v>
      </c>
      <c r="F36" s="145">
        <v>3296</v>
      </c>
      <c r="G36" s="145">
        <v>1065</v>
      </c>
      <c r="H36" s="145" t="s">
        <v>1761</v>
      </c>
      <c r="I36" s="145">
        <v>2131</v>
      </c>
      <c r="J36" s="145" t="s">
        <v>1466</v>
      </c>
      <c r="K36" s="145">
        <v>3196</v>
      </c>
      <c r="L36" s="145">
        <v>96.97</v>
      </c>
      <c r="M36" s="145">
        <v>1067</v>
      </c>
      <c r="N36" s="145" t="s">
        <v>1762</v>
      </c>
      <c r="O36" s="145">
        <v>2130</v>
      </c>
      <c r="P36" s="145" t="s">
        <v>1696</v>
      </c>
      <c r="Q36" s="145">
        <v>3196</v>
      </c>
      <c r="R36" s="145" t="s">
        <v>1459</v>
      </c>
      <c r="S36" s="145">
        <v>1067</v>
      </c>
      <c r="T36" s="145" t="s">
        <v>1762</v>
      </c>
      <c r="U36" s="145">
        <v>2130</v>
      </c>
      <c r="V36" s="145" t="s">
        <v>1696</v>
      </c>
      <c r="W36" s="149">
        <v>3197</v>
      </c>
      <c r="X36" s="145">
        <v>97</v>
      </c>
      <c r="Y36" s="145">
        <v>3294</v>
      </c>
      <c r="Z36" s="145" t="s">
        <v>390</v>
      </c>
      <c r="AA36" s="145">
        <v>1550</v>
      </c>
      <c r="AB36" s="148">
        <v>1500</v>
      </c>
      <c r="AC36" s="99">
        <f t="shared" si="0"/>
        <v>46.918986549890526</v>
      </c>
      <c r="AD36" s="145">
        <v>106</v>
      </c>
      <c r="AE36" s="145">
        <v>36</v>
      </c>
      <c r="AF36" s="145">
        <v>3053</v>
      </c>
      <c r="AG36" s="145" t="s">
        <v>1763</v>
      </c>
      <c r="AH36" s="134">
        <v>349</v>
      </c>
      <c r="AI36" s="108">
        <v>10.92</v>
      </c>
      <c r="AJ36" s="95">
        <v>117</v>
      </c>
      <c r="AK36" s="95">
        <v>3.66</v>
      </c>
      <c r="AL36" s="95">
        <v>169</v>
      </c>
      <c r="AM36" s="95">
        <v>5.29</v>
      </c>
      <c r="AN36" s="95">
        <v>286</v>
      </c>
      <c r="AO36" s="95">
        <v>8.9499999999999993</v>
      </c>
      <c r="AP36" s="145">
        <v>678</v>
      </c>
      <c r="AQ36" s="145">
        <v>472</v>
      </c>
      <c r="AR36" s="145">
        <v>364</v>
      </c>
      <c r="AS36" s="145">
        <v>77.12</v>
      </c>
      <c r="AT36" s="148">
        <v>387</v>
      </c>
      <c r="AU36" s="148">
        <v>221</v>
      </c>
      <c r="AV36" s="148">
        <v>57.11</v>
      </c>
      <c r="AW36" s="145">
        <v>372</v>
      </c>
      <c r="AX36" s="145">
        <v>355</v>
      </c>
      <c r="AY36" s="145" t="s">
        <v>1764</v>
      </c>
      <c r="AZ36" s="145">
        <v>329</v>
      </c>
      <c r="BA36" s="145">
        <v>92.68</v>
      </c>
      <c r="BB36" s="145">
        <v>338</v>
      </c>
      <c r="BC36" s="145" t="s">
        <v>1765</v>
      </c>
      <c r="BD36" s="148">
        <v>324</v>
      </c>
      <c r="BE36" s="148">
        <v>91.27</v>
      </c>
      <c r="BF36" s="145">
        <v>352</v>
      </c>
      <c r="BG36" s="145">
        <v>352</v>
      </c>
      <c r="BH36" s="145">
        <v>100</v>
      </c>
      <c r="BI36" s="145">
        <v>3597</v>
      </c>
      <c r="BJ36" s="145">
        <v>3587</v>
      </c>
      <c r="BK36" s="145">
        <v>524</v>
      </c>
      <c r="BL36" s="145">
        <v>522</v>
      </c>
      <c r="BM36" s="145" t="s">
        <v>871</v>
      </c>
      <c r="BN36" s="145">
        <v>330</v>
      </c>
      <c r="BO36" s="145">
        <v>330</v>
      </c>
      <c r="BP36" s="145">
        <v>3457</v>
      </c>
      <c r="BQ36" s="145">
        <v>3457</v>
      </c>
      <c r="BR36" s="145">
        <v>3396</v>
      </c>
      <c r="BS36" s="145">
        <v>100</v>
      </c>
      <c r="BT36" s="145">
        <v>682</v>
      </c>
      <c r="BU36" s="145">
        <v>682</v>
      </c>
      <c r="BV36" s="145">
        <v>100</v>
      </c>
      <c r="BW36" s="145">
        <v>3981</v>
      </c>
      <c r="BX36" s="145">
        <v>3918</v>
      </c>
      <c r="BY36" s="145" t="s">
        <v>408</v>
      </c>
      <c r="BZ36" s="145">
        <v>4663</v>
      </c>
      <c r="CA36" s="145">
        <v>4600</v>
      </c>
      <c r="CB36" s="145" t="s">
        <v>1766</v>
      </c>
      <c r="CC36" s="95">
        <v>668</v>
      </c>
      <c r="CD36" s="95">
        <v>132</v>
      </c>
      <c r="CE36" s="95">
        <v>19.760000000000002</v>
      </c>
      <c r="CF36" s="95">
        <v>1319</v>
      </c>
      <c r="CG36" s="95">
        <v>164</v>
      </c>
      <c r="CH36" s="95">
        <v>12.43</v>
      </c>
      <c r="CI36" s="95">
        <v>6827</v>
      </c>
      <c r="CJ36" s="95">
        <v>573</v>
      </c>
      <c r="CK36" s="95">
        <v>8.39</v>
      </c>
      <c r="CL36" s="145" t="s">
        <v>1441</v>
      </c>
      <c r="CM36" s="145">
        <v>0</v>
      </c>
      <c r="CN36" s="145">
        <v>0</v>
      </c>
      <c r="CO36" s="145">
        <v>0</v>
      </c>
      <c r="CP36" s="145">
        <v>0</v>
      </c>
      <c r="CQ36" s="145">
        <v>1</v>
      </c>
      <c r="CR36" s="145">
        <v>0</v>
      </c>
      <c r="CS36" s="145">
        <v>2</v>
      </c>
      <c r="CT36" s="145">
        <v>0</v>
      </c>
      <c r="CU36" s="145">
        <v>0</v>
      </c>
      <c r="CV36" s="145">
        <v>2</v>
      </c>
      <c r="CW36" s="148">
        <v>1</v>
      </c>
      <c r="CX36" s="148">
        <v>50</v>
      </c>
      <c r="CY36" s="109">
        <v>847</v>
      </c>
      <c r="CZ36" s="95">
        <v>57</v>
      </c>
      <c r="DA36" s="95">
        <v>6.73</v>
      </c>
    </row>
    <row r="37" spans="1:105" x14ac:dyDescent="0.3">
      <c r="A37" s="104">
        <v>31</v>
      </c>
      <c r="B37" s="145" t="s">
        <v>5</v>
      </c>
      <c r="C37" s="145">
        <v>35043</v>
      </c>
      <c r="D37" s="145">
        <v>5454</v>
      </c>
      <c r="E37" s="145">
        <v>11039</v>
      </c>
      <c r="F37" s="145">
        <v>16495</v>
      </c>
      <c r="G37" s="145">
        <v>5383</v>
      </c>
      <c r="H37" s="145" t="s">
        <v>1767</v>
      </c>
      <c r="I37" s="145">
        <v>10984</v>
      </c>
      <c r="J37" s="145" t="s">
        <v>1553</v>
      </c>
      <c r="K37" s="145">
        <v>16366</v>
      </c>
      <c r="L37" s="145">
        <v>99.22</v>
      </c>
      <c r="M37" s="145">
        <v>5383</v>
      </c>
      <c r="N37" s="145" t="s">
        <v>1767</v>
      </c>
      <c r="O37" s="145">
        <v>10988</v>
      </c>
      <c r="P37" s="145" t="s">
        <v>1144</v>
      </c>
      <c r="Q37" s="145">
        <v>16370</v>
      </c>
      <c r="R37" s="145" t="s">
        <v>1768</v>
      </c>
      <c r="S37" s="145">
        <v>5383</v>
      </c>
      <c r="T37" s="145" t="s">
        <v>1767</v>
      </c>
      <c r="U37" s="145">
        <v>10945</v>
      </c>
      <c r="V37" s="145" t="s">
        <v>514</v>
      </c>
      <c r="W37" s="149">
        <v>16328</v>
      </c>
      <c r="X37" s="145">
        <v>98.99</v>
      </c>
      <c r="Y37" s="145">
        <v>16479</v>
      </c>
      <c r="Z37" s="145" t="s">
        <v>1235</v>
      </c>
      <c r="AA37" s="145">
        <v>9057</v>
      </c>
      <c r="AB37" s="148">
        <v>6928</v>
      </c>
      <c r="AC37" s="99">
        <f t="shared" si="0"/>
        <v>42.430181283684469</v>
      </c>
      <c r="AD37" s="145">
        <v>270</v>
      </c>
      <c r="AE37" s="145">
        <v>113</v>
      </c>
      <c r="AF37" s="145">
        <v>15987</v>
      </c>
      <c r="AG37" s="145" t="s">
        <v>1769</v>
      </c>
      <c r="AH37" s="134">
        <v>1231</v>
      </c>
      <c r="AI37" s="108">
        <v>7.54</v>
      </c>
      <c r="AJ37" s="95">
        <v>607</v>
      </c>
      <c r="AK37" s="95">
        <v>3.71</v>
      </c>
      <c r="AL37" s="95">
        <v>897</v>
      </c>
      <c r="AM37" s="95">
        <v>5.48</v>
      </c>
      <c r="AN37" s="95">
        <v>1559</v>
      </c>
      <c r="AO37" s="95">
        <v>9.5299999999999994</v>
      </c>
      <c r="AP37" s="145">
        <v>2548</v>
      </c>
      <c r="AQ37" s="145">
        <v>1992</v>
      </c>
      <c r="AR37" s="145">
        <v>1831</v>
      </c>
      <c r="AS37" s="145">
        <v>91.92</v>
      </c>
      <c r="AT37" s="148">
        <v>1851</v>
      </c>
      <c r="AU37" s="148">
        <v>1470</v>
      </c>
      <c r="AV37" s="148">
        <v>79.42</v>
      </c>
      <c r="AW37" s="145">
        <v>2972</v>
      </c>
      <c r="AX37" s="145">
        <v>2572</v>
      </c>
      <c r="AY37" s="145" t="s">
        <v>1770</v>
      </c>
      <c r="AZ37" s="145">
        <v>2530</v>
      </c>
      <c r="BA37" s="145">
        <v>98.37</v>
      </c>
      <c r="BB37" s="145">
        <v>2545</v>
      </c>
      <c r="BC37" s="145" t="s">
        <v>1451</v>
      </c>
      <c r="BD37" s="148">
        <v>2528</v>
      </c>
      <c r="BE37" s="148">
        <v>98.29</v>
      </c>
      <c r="BF37" s="145">
        <v>1698</v>
      </c>
      <c r="BG37" s="145">
        <v>1667</v>
      </c>
      <c r="BH37" s="145" t="s">
        <v>1550</v>
      </c>
      <c r="BI37" s="145">
        <v>16664</v>
      </c>
      <c r="BJ37" s="145">
        <v>16506</v>
      </c>
      <c r="BK37" s="145">
        <v>2543</v>
      </c>
      <c r="BL37" s="145">
        <v>2521</v>
      </c>
      <c r="BM37" s="145" t="s">
        <v>517</v>
      </c>
      <c r="BN37" s="145">
        <v>1525</v>
      </c>
      <c r="BO37" s="145">
        <v>1525</v>
      </c>
      <c r="BP37" s="145">
        <v>15713</v>
      </c>
      <c r="BQ37" s="145">
        <v>15700</v>
      </c>
      <c r="BR37" s="145">
        <v>14982</v>
      </c>
      <c r="BS37" s="145" t="s">
        <v>1208</v>
      </c>
      <c r="BT37" s="145">
        <v>3223</v>
      </c>
      <c r="BU37" s="145">
        <v>3192</v>
      </c>
      <c r="BV37" s="145" t="s">
        <v>1185</v>
      </c>
      <c r="BW37" s="145">
        <v>18256</v>
      </c>
      <c r="BX37" s="145">
        <v>17503</v>
      </c>
      <c r="BY37" s="145" t="s">
        <v>1714</v>
      </c>
      <c r="BZ37" s="145">
        <v>21479</v>
      </c>
      <c r="CA37" s="145">
        <v>20695</v>
      </c>
      <c r="CB37" s="145" t="s">
        <v>1652</v>
      </c>
      <c r="CC37" s="95">
        <v>4739</v>
      </c>
      <c r="CD37" s="95">
        <v>1061</v>
      </c>
      <c r="CE37" s="95">
        <v>22.39</v>
      </c>
      <c r="CF37" s="95">
        <v>8735</v>
      </c>
      <c r="CG37" s="95">
        <v>1389</v>
      </c>
      <c r="CH37" s="95">
        <v>15.9</v>
      </c>
      <c r="CI37" s="95">
        <v>40703</v>
      </c>
      <c r="CJ37" s="95">
        <v>6405</v>
      </c>
      <c r="CK37" s="95">
        <v>15.74</v>
      </c>
      <c r="CL37" s="145" t="s">
        <v>1441</v>
      </c>
      <c r="CM37" s="145">
        <v>0</v>
      </c>
      <c r="CN37" s="145">
        <v>0</v>
      </c>
      <c r="CO37" s="145">
        <v>0</v>
      </c>
      <c r="CP37" s="145">
        <v>1</v>
      </c>
      <c r="CQ37" s="145">
        <v>1</v>
      </c>
      <c r="CR37" s="145">
        <v>100</v>
      </c>
      <c r="CS37" s="145">
        <v>0</v>
      </c>
      <c r="CT37" s="145">
        <v>0</v>
      </c>
      <c r="CU37" s="145">
        <v>0</v>
      </c>
      <c r="CV37" s="145">
        <v>1</v>
      </c>
      <c r="CW37" s="148">
        <v>1</v>
      </c>
      <c r="CX37" s="148">
        <v>100</v>
      </c>
      <c r="CY37" s="109">
        <v>2129</v>
      </c>
      <c r="CZ37" s="95">
        <v>759</v>
      </c>
      <c r="DA37" s="95">
        <v>35.65</v>
      </c>
    </row>
    <row r="38" spans="1:105" x14ac:dyDescent="0.3">
      <c r="A38" s="104">
        <v>32</v>
      </c>
      <c r="B38" s="145" t="s">
        <v>6</v>
      </c>
      <c r="C38" s="145">
        <v>11057</v>
      </c>
      <c r="D38" s="145">
        <v>2017</v>
      </c>
      <c r="E38" s="145">
        <v>3829</v>
      </c>
      <c r="F38" s="145">
        <v>5845</v>
      </c>
      <c r="G38" s="145">
        <v>1864</v>
      </c>
      <c r="H38" s="145" t="s">
        <v>1771</v>
      </c>
      <c r="I38" s="145">
        <v>3690</v>
      </c>
      <c r="J38" s="145" t="s">
        <v>1504</v>
      </c>
      <c r="K38" s="145">
        <v>5548</v>
      </c>
      <c r="L38" s="145">
        <v>94.92</v>
      </c>
      <c r="M38" s="145">
        <v>1863</v>
      </c>
      <c r="N38" s="145" t="s">
        <v>542</v>
      </c>
      <c r="O38" s="145">
        <v>3690</v>
      </c>
      <c r="P38" s="145" t="s">
        <v>1504</v>
      </c>
      <c r="Q38" s="145">
        <v>5548</v>
      </c>
      <c r="R38" s="145" t="s">
        <v>1772</v>
      </c>
      <c r="S38" s="145">
        <v>1863</v>
      </c>
      <c r="T38" s="145" t="s">
        <v>542</v>
      </c>
      <c r="U38" s="145">
        <v>3690</v>
      </c>
      <c r="V38" s="145" t="s">
        <v>1504</v>
      </c>
      <c r="W38" s="149">
        <v>5548</v>
      </c>
      <c r="X38" s="145">
        <v>94.92</v>
      </c>
      <c r="Y38" s="145">
        <v>5840</v>
      </c>
      <c r="Z38" s="145" t="s">
        <v>913</v>
      </c>
      <c r="AA38" s="145">
        <v>2833</v>
      </c>
      <c r="AB38" s="148">
        <v>2481</v>
      </c>
      <c r="AC38" s="99">
        <f t="shared" si="0"/>
        <v>44.718817591925017</v>
      </c>
      <c r="AD38" s="145">
        <v>179</v>
      </c>
      <c r="AE38" s="145">
        <v>61</v>
      </c>
      <c r="AF38" s="145">
        <v>5312</v>
      </c>
      <c r="AG38" s="145" t="s">
        <v>1773</v>
      </c>
      <c r="AH38" s="134">
        <v>365</v>
      </c>
      <c r="AI38" s="108">
        <v>6.58</v>
      </c>
      <c r="AJ38" s="95">
        <v>134</v>
      </c>
      <c r="AK38" s="95">
        <v>2.42</v>
      </c>
      <c r="AL38" s="95">
        <v>318</v>
      </c>
      <c r="AM38" s="95">
        <v>5.73</v>
      </c>
      <c r="AN38" s="95">
        <v>375</v>
      </c>
      <c r="AO38" s="95">
        <v>6.76</v>
      </c>
      <c r="AP38" s="145">
        <v>1468</v>
      </c>
      <c r="AQ38" s="145">
        <v>1079</v>
      </c>
      <c r="AR38" s="145">
        <v>826</v>
      </c>
      <c r="AS38" s="145">
        <v>76.55</v>
      </c>
      <c r="AT38" s="148">
        <v>685</v>
      </c>
      <c r="AU38" s="148">
        <v>388</v>
      </c>
      <c r="AV38" s="148">
        <v>56.64</v>
      </c>
      <c r="AW38" s="145">
        <v>565</v>
      </c>
      <c r="AX38" s="145">
        <v>518</v>
      </c>
      <c r="AY38" s="145" t="s">
        <v>1774</v>
      </c>
      <c r="AZ38" s="145">
        <v>514</v>
      </c>
      <c r="BA38" s="145">
        <v>99.23</v>
      </c>
      <c r="BB38" s="145">
        <v>517</v>
      </c>
      <c r="BC38" s="145" t="s">
        <v>1501</v>
      </c>
      <c r="BD38" s="148">
        <v>513</v>
      </c>
      <c r="BE38" s="148">
        <v>99.03</v>
      </c>
      <c r="BF38" s="145">
        <v>714</v>
      </c>
      <c r="BG38" s="145">
        <v>683</v>
      </c>
      <c r="BH38" s="145" t="s">
        <v>1775</v>
      </c>
      <c r="BI38" s="145">
        <v>6889</v>
      </c>
      <c r="BJ38" s="145">
        <v>6755</v>
      </c>
      <c r="BK38" s="145">
        <v>1015</v>
      </c>
      <c r="BL38" s="145">
        <v>992</v>
      </c>
      <c r="BM38" s="145" t="s">
        <v>1492</v>
      </c>
      <c r="BN38" s="145">
        <v>689</v>
      </c>
      <c r="BO38" s="145">
        <v>545</v>
      </c>
      <c r="BP38" s="145">
        <v>6582</v>
      </c>
      <c r="BQ38" s="145">
        <v>4829</v>
      </c>
      <c r="BR38" s="145">
        <v>4708</v>
      </c>
      <c r="BS38" s="145" t="s">
        <v>1776</v>
      </c>
      <c r="BT38" s="145">
        <v>1403</v>
      </c>
      <c r="BU38" s="145">
        <v>1228</v>
      </c>
      <c r="BV38" s="145" t="s">
        <v>1777</v>
      </c>
      <c r="BW38" s="145">
        <v>7597</v>
      </c>
      <c r="BX38" s="145">
        <v>5700</v>
      </c>
      <c r="BY38" s="145" t="s">
        <v>1778</v>
      </c>
      <c r="BZ38" s="145">
        <v>9000</v>
      </c>
      <c r="CA38" s="145">
        <v>6928</v>
      </c>
      <c r="CB38" s="145" t="s">
        <v>1779</v>
      </c>
      <c r="CC38" s="95">
        <v>649</v>
      </c>
      <c r="CD38" s="95">
        <v>98</v>
      </c>
      <c r="CE38" s="95">
        <v>15.1</v>
      </c>
      <c r="CF38" s="95">
        <v>1559</v>
      </c>
      <c r="CG38" s="95">
        <v>284</v>
      </c>
      <c r="CH38" s="95">
        <v>18.22</v>
      </c>
      <c r="CI38" s="95">
        <v>10463</v>
      </c>
      <c r="CJ38" s="95">
        <v>1000</v>
      </c>
      <c r="CK38" s="95">
        <v>9.56</v>
      </c>
      <c r="CL38" s="145" t="s">
        <v>1441</v>
      </c>
      <c r="CM38" s="145">
        <v>2</v>
      </c>
      <c r="CN38" s="145">
        <v>1</v>
      </c>
      <c r="CO38" s="145">
        <v>50</v>
      </c>
      <c r="CP38" s="145">
        <v>5</v>
      </c>
      <c r="CQ38" s="145">
        <v>3</v>
      </c>
      <c r="CR38" s="145">
        <v>60</v>
      </c>
      <c r="CS38" s="145">
        <v>1</v>
      </c>
      <c r="CT38" s="145">
        <v>2</v>
      </c>
      <c r="CU38" s="146">
        <v>200</v>
      </c>
      <c r="CV38" s="145">
        <v>6</v>
      </c>
      <c r="CW38" s="148">
        <v>5</v>
      </c>
      <c r="CX38" s="148">
        <v>83.33</v>
      </c>
      <c r="CY38" s="109">
        <v>451</v>
      </c>
      <c r="CZ38" s="95">
        <v>97</v>
      </c>
      <c r="DA38" s="95">
        <v>21.51</v>
      </c>
    </row>
    <row r="39" spans="1:105" x14ac:dyDescent="0.3">
      <c r="A39" s="104">
        <v>33</v>
      </c>
      <c r="B39" s="145" t="s">
        <v>7</v>
      </c>
      <c r="C39" s="145">
        <v>113730</v>
      </c>
      <c r="D39" s="145">
        <v>22363</v>
      </c>
      <c r="E39" s="145">
        <v>39715</v>
      </c>
      <c r="F39" s="145">
        <v>62072</v>
      </c>
      <c r="G39" s="145">
        <v>19212</v>
      </c>
      <c r="H39" s="145" t="s">
        <v>1780</v>
      </c>
      <c r="I39" s="145">
        <v>36244</v>
      </c>
      <c r="J39" s="145" t="s">
        <v>1781</v>
      </c>
      <c r="K39" s="145">
        <v>55457</v>
      </c>
      <c r="L39" s="145">
        <v>89.34</v>
      </c>
      <c r="M39" s="145">
        <v>19205</v>
      </c>
      <c r="N39" s="145" t="s">
        <v>1782</v>
      </c>
      <c r="O39" s="145">
        <v>36209</v>
      </c>
      <c r="P39" s="145" t="s">
        <v>1783</v>
      </c>
      <c r="Q39" s="145">
        <v>55415</v>
      </c>
      <c r="R39" s="145" t="s">
        <v>1784</v>
      </c>
      <c r="S39" s="145">
        <v>19212</v>
      </c>
      <c r="T39" s="145" t="s">
        <v>1780</v>
      </c>
      <c r="U39" s="145">
        <v>36244</v>
      </c>
      <c r="V39" s="145" t="s">
        <v>1781</v>
      </c>
      <c r="W39" s="149">
        <v>55456</v>
      </c>
      <c r="X39" s="145">
        <v>89.34</v>
      </c>
      <c r="Y39" s="145">
        <v>62016</v>
      </c>
      <c r="Z39" s="145" t="s">
        <v>913</v>
      </c>
      <c r="AA39" s="145">
        <v>37767</v>
      </c>
      <c r="AB39" s="148">
        <v>12748</v>
      </c>
      <c r="AC39" s="99">
        <f t="shared" si="0"/>
        <v>22.987593768032312</v>
      </c>
      <c r="AD39" s="145">
        <v>4435</v>
      </c>
      <c r="AE39" s="145">
        <v>598</v>
      </c>
      <c r="AF39" s="145">
        <v>50515</v>
      </c>
      <c r="AG39" s="145" t="s">
        <v>1785</v>
      </c>
      <c r="AH39" s="134">
        <v>2636</v>
      </c>
      <c r="AI39" s="108">
        <v>4.75</v>
      </c>
      <c r="AJ39" s="95">
        <v>1425</v>
      </c>
      <c r="AK39" s="95">
        <v>2.57</v>
      </c>
      <c r="AL39" s="95">
        <v>4195</v>
      </c>
      <c r="AM39" s="95">
        <v>7.57</v>
      </c>
      <c r="AN39" s="95">
        <v>2884</v>
      </c>
      <c r="AO39" s="95">
        <v>5.2</v>
      </c>
      <c r="AP39" s="145">
        <v>12574</v>
      </c>
      <c r="AQ39" s="145">
        <v>11847</v>
      </c>
      <c r="AR39" s="145">
        <v>11478</v>
      </c>
      <c r="AS39" s="145">
        <v>96.89</v>
      </c>
      <c r="AT39" s="148">
        <v>8115</v>
      </c>
      <c r="AU39" s="148">
        <v>7314</v>
      </c>
      <c r="AV39" s="148">
        <v>90.13</v>
      </c>
      <c r="AW39" s="145">
        <v>9693</v>
      </c>
      <c r="AX39" s="145">
        <v>8011</v>
      </c>
      <c r="AY39" s="145" t="s">
        <v>1786</v>
      </c>
      <c r="AZ39" s="145">
        <v>7925</v>
      </c>
      <c r="BA39" s="145">
        <v>98.93</v>
      </c>
      <c r="BB39" s="145">
        <v>7991</v>
      </c>
      <c r="BC39" s="145" t="s">
        <v>1273</v>
      </c>
      <c r="BD39" s="148">
        <v>7916</v>
      </c>
      <c r="BE39" s="148">
        <v>98.81</v>
      </c>
      <c r="BF39" s="145">
        <v>7298</v>
      </c>
      <c r="BG39" s="145">
        <v>7196</v>
      </c>
      <c r="BH39" s="145" t="s">
        <v>1545</v>
      </c>
      <c r="BI39" s="145">
        <v>62833</v>
      </c>
      <c r="BJ39" s="145">
        <v>61894</v>
      </c>
      <c r="BK39" s="145">
        <v>9593</v>
      </c>
      <c r="BL39" s="145">
        <v>9420</v>
      </c>
      <c r="BM39" s="145" t="s">
        <v>440</v>
      </c>
      <c r="BN39" s="145">
        <v>6740</v>
      </c>
      <c r="BO39" s="145">
        <v>6610</v>
      </c>
      <c r="BP39" s="145">
        <v>60403</v>
      </c>
      <c r="BQ39" s="145">
        <v>60163</v>
      </c>
      <c r="BR39" s="145">
        <v>57755</v>
      </c>
      <c r="BS39" s="145" t="s">
        <v>843</v>
      </c>
      <c r="BT39" s="145">
        <v>14038</v>
      </c>
      <c r="BU39" s="145">
        <v>13806</v>
      </c>
      <c r="BV39" s="145" t="s">
        <v>1430</v>
      </c>
      <c r="BW39" s="145">
        <v>69996</v>
      </c>
      <c r="BX39" s="145">
        <v>67175</v>
      </c>
      <c r="BY39" s="145" t="s">
        <v>1787</v>
      </c>
      <c r="BZ39" s="145">
        <v>84034</v>
      </c>
      <c r="CA39" s="145">
        <v>80981</v>
      </c>
      <c r="CB39" s="145" t="s">
        <v>1504</v>
      </c>
      <c r="CC39" s="95">
        <v>7128</v>
      </c>
      <c r="CD39" s="95">
        <v>2467</v>
      </c>
      <c r="CE39" s="95">
        <v>34.61</v>
      </c>
      <c r="CF39" s="95">
        <v>10192</v>
      </c>
      <c r="CG39" s="95">
        <v>3402</v>
      </c>
      <c r="CH39" s="95">
        <v>33.380000000000003</v>
      </c>
      <c r="CI39" s="95">
        <v>49683</v>
      </c>
      <c r="CJ39" s="95">
        <v>6169</v>
      </c>
      <c r="CK39" s="95">
        <v>12.42</v>
      </c>
      <c r="CL39" s="145" t="s">
        <v>1441</v>
      </c>
      <c r="CM39" s="145">
        <v>23</v>
      </c>
      <c r="CN39" s="145">
        <v>19</v>
      </c>
      <c r="CO39" s="145" t="s">
        <v>1788</v>
      </c>
      <c r="CP39" s="145">
        <v>217</v>
      </c>
      <c r="CQ39" s="145">
        <v>226</v>
      </c>
      <c r="CR39" s="146" t="s">
        <v>1789</v>
      </c>
      <c r="CS39" s="145">
        <v>401</v>
      </c>
      <c r="CT39" s="145">
        <v>407</v>
      </c>
      <c r="CU39" s="146" t="s">
        <v>1790</v>
      </c>
      <c r="CV39" s="145">
        <v>618</v>
      </c>
      <c r="CW39" s="148">
        <v>633</v>
      </c>
      <c r="CX39" s="148">
        <v>102.43</v>
      </c>
      <c r="CY39" s="109">
        <v>7104</v>
      </c>
      <c r="CZ39" s="95">
        <v>1689</v>
      </c>
      <c r="DA39" s="95">
        <v>23.78</v>
      </c>
    </row>
    <row r="40" spans="1:105" x14ac:dyDescent="0.3">
      <c r="A40" s="104">
        <v>34</v>
      </c>
      <c r="B40" s="145" t="s">
        <v>8</v>
      </c>
      <c r="C40" s="145">
        <v>26603</v>
      </c>
      <c r="D40" s="145">
        <v>5108</v>
      </c>
      <c r="E40" s="145">
        <v>8678</v>
      </c>
      <c r="F40" s="145">
        <v>13784</v>
      </c>
      <c r="G40" s="145">
        <v>4629</v>
      </c>
      <c r="H40" s="145" t="s">
        <v>1791</v>
      </c>
      <c r="I40" s="145">
        <v>8511</v>
      </c>
      <c r="J40" s="145" t="s">
        <v>1690</v>
      </c>
      <c r="K40" s="145">
        <v>13140</v>
      </c>
      <c r="L40" s="145">
        <v>95.33</v>
      </c>
      <c r="M40" s="145">
        <v>4618</v>
      </c>
      <c r="N40" s="145" t="s">
        <v>1792</v>
      </c>
      <c r="O40" s="145">
        <v>8481</v>
      </c>
      <c r="P40" s="145" t="s">
        <v>1492</v>
      </c>
      <c r="Q40" s="145">
        <v>13099</v>
      </c>
      <c r="R40" s="145" t="s">
        <v>495</v>
      </c>
      <c r="S40" s="145">
        <v>4611</v>
      </c>
      <c r="T40" s="145" t="s">
        <v>1793</v>
      </c>
      <c r="U40" s="145">
        <v>8492</v>
      </c>
      <c r="V40" s="145" t="s">
        <v>1794</v>
      </c>
      <c r="W40" s="149">
        <v>13103</v>
      </c>
      <c r="X40" s="145">
        <v>95.06</v>
      </c>
      <c r="Y40" s="145">
        <v>13582</v>
      </c>
      <c r="Z40" s="145" t="s">
        <v>1637</v>
      </c>
      <c r="AA40" s="145">
        <v>6290</v>
      </c>
      <c r="AB40" s="148">
        <v>6112</v>
      </c>
      <c r="AC40" s="99">
        <f t="shared" si="0"/>
        <v>46.645806303899874</v>
      </c>
      <c r="AD40" s="145">
        <v>514</v>
      </c>
      <c r="AE40" s="145">
        <v>204</v>
      </c>
      <c r="AF40" s="145">
        <v>12400</v>
      </c>
      <c r="AG40" s="145" t="s">
        <v>1795</v>
      </c>
      <c r="AH40" s="134">
        <v>1029</v>
      </c>
      <c r="AI40" s="108">
        <v>7.85</v>
      </c>
      <c r="AJ40" s="95">
        <v>946</v>
      </c>
      <c r="AK40" s="95">
        <v>7.22</v>
      </c>
      <c r="AL40" s="95">
        <v>301</v>
      </c>
      <c r="AM40" s="95">
        <v>2.2999999999999998</v>
      </c>
      <c r="AN40" s="95">
        <v>1767</v>
      </c>
      <c r="AO40" s="95">
        <v>13.45</v>
      </c>
      <c r="AP40" s="145">
        <v>3202</v>
      </c>
      <c r="AQ40" s="145">
        <v>2503</v>
      </c>
      <c r="AR40" s="145">
        <v>2364</v>
      </c>
      <c r="AS40" s="145">
        <v>94.45</v>
      </c>
      <c r="AT40" s="148">
        <v>1868</v>
      </c>
      <c r="AU40" s="148">
        <v>1471</v>
      </c>
      <c r="AV40" s="148">
        <v>78.75</v>
      </c>
      <c r="AW40" s="145">
        <v>1727</v>
      </c>
      <c r="AX40" s="145">
        <v>1586</v>
      </c>
      <c r="AY40" s="145" t="s">
        <v>1796</v>
      </c>
      <c r="AZ40" s="145">
        <v>1530</v>
      </c>
      <c r="BA40" s="145">
        <v>96.47</v>
      </c>
      <c r="BB40" s="145">
        <v>1574</v>
      </c>
      <c r="BC40" s="145" t="s">
        <v>1768</v>
      </c>
      <c r="BD40" s="148">
        <v>1522</v>
      </c>
      <c r="BE40" s="148">
        <v>95.96</v>
      </c>
      <c r="BF40" s="145">
        <v>1719</v>
      </c>
      <c r="BG40" s="145">
        <v>1703</v>
      </c>
      <c r="BH40" s="145" t="s">
        <v>1666</v>
      </c>
      <c r="BI40" s="145">
        <v>14603</v>
      </c>
      <c r="BJ40" s="145">
        <v>14408</v>
      </c>
      <c r="BK40" s="145">
        <v>2152</v>
      </c>
      <c r="BL40" s="145">
        <v>2103</v>
      </c>
      <c r="BM40" s="145" t="s">
        <v>1557</v>
      </c>
      <c r="BN40" s="145">
        <v>1550</v>
      </c>
      <c r="BO40" s="145">
        <v>1538</v>
      </c>
      <c r="BP40" s="145">
        <v>13805</v>
      </c>
      <c r="BQ40" s="145">
        <v>13705</v>
      </c>
      <c r="BR40" s="145">
        <v>13054</v>
      </c>
      <c r="BS40" s="145" t="s">
        <v>1797</v>
      </c>
      <c r="BT40" s="145">
        <v>3269</v>
      </c>
      <c r="BU40" s="145">
        <v>3241</v>
      </c>
      <c r="BV40" s="145" t="s">
        <v>1798</v>
      </c>
      <c r="BW40" s="145">
        <v>15957</v>
      </c>
      <c r="BX40" s="145">
        <v>15157</v>
      </c>
      <c r="BY40" s="145" t="s">
        <v>1799</v>
      </c>
      <c r="BZ40" s="145">
        <v>19226</v>
      </c>
      <c r="CA40" s="145">
        <v>18398</v>
      </c>
      <c r="CB40" s="145" t="s">
        <v>1800</v>
      </c>
      <c r="CC40" s="95">
        <v>7181</v>
      </c>
      <c r="CD40" s="95">
        <v>351</v>
      </c>
      <c r="CE40" s="95">
        <v>4.8899999999999997</v>
      </c>
      <c r="CF40" s="95">
        <v>7582</v>
      </c>
      <c r="CG40" s="95">
        <v>327</v>
      </c>
      <c r="CH40" s="95">
        <v>4.3099999999999996</v>
      </c>
      <c r="CI40" s="95">
        <v>33633</v>
      </c>
      <c r="CJ40" s="95">
        <v>454</v>
      </c>
      <c r="CK40" s="95">
        <v>1.35</v>
      </c>
      <c r="CL40" s="145" t="s">
        <v>1441</v>
      </c>
      <c r="CM40" s="145">
        <v>11</v>
      </c>
      <c r="CN40" s="145">
        <v>7</v>
      </c>
      <c r="CO40" s="145" t="s">
        <v>1801</v>
      </c>
      <c r="CP40" s="145">
        <v>55</v>
      </c>
      <c r="CQ40" s="145">
        <v>41</v>
      </c>
      <c r="CR40" s="145" t="s">
        <v>1802</v>
      </c>
      <c r="CS40" s="145">
        <v>72</v>
      </c>
      <c r="CT40" s="145">
        <v>65</v>
      </c>
      <c r="CU40" s="145" t="s">
        <v>419</v>
      </c>
      <c r="CV40" s="145">
        <v>127</v>
      </c>
      <c r="CW40" s="148">
        <v>106</v>
      </c>
      <c r="CX40" s="148">
        <v>83.46</v>
      </c>
      <c r="CY40" s="109">
        <v>2767</v>
      </c>
      <c r="CZ40" s="95">
        <v>1920</v>
      </c>
      <c r="DA40" s="95">
        <v>69.39</v>
      </c>
    </row>
    <row r="41" spans="1:105" x14ac:dyDescent="0.3">
      <c r="A41" s="104">
        <v>35</v>
      </c>
      <c r="B41" s="145" t="s">
        <v>9</v>
      </c>
      <c r="C41" s="145">
        <v>22866</v>
      </c>
      <c r="D41" s="145">
        <v>2759</v>
      </c>
      <c r="E41" s="145">
        <v>5020</v>
      </c>
      <c r="F41" s="145">
        <v>7781</v>
      </c>
      <c r="G41" s="145">
        <v>2693</v>
      </c>
      <c r="H41" s="145" t="s">
        <v>1803</v>
      </c>
      <c r="I41" s="145">
        <v>4963</v>
      </c>
      <c r="J41" s="145" t="s">
        <v>1495</v>
      </c>
      <c r="K41" s="145">
        <v>7658</v>
      </c>
      <c r="L41" s="145">
        <v>98.42</v>
      </c>
      <c r="M41" s="145">
        <v>2693</v>
      </c>
      <c r="N41" s="145" t="s">
        <v>1803</v>
      </c>
      <c r="O41" s="145">
        <v>4963</v>
      </c>
      <c r="P41" s="145" t="s">
        <v>1495</v>
      </c>
      <c r="Q41" s="145">
        <v>7657</v>
      </c>
      <c r="R41" s="145" t="s">
        <v>486</v>
      </c>
      <c r="S41" s="145">
        <v>2693</v>
      </c>
      <c r="T41" s="145" t="s">
        <v>1803</v>
      </c>
      <c r="U41" s="145">
        <v>4963</v>
      </c>
      <c r="V41" s="145" t="s">
        <v>1495</v>
      </c>
      <c r="W41" s="149">
        <v>7657</v>
      </c>
      <c r="X41" s="145">
        <v>98.41</v>
      </c>
      <c r="Y41" s="145">
        <v>7773</v>
      </c>
      <c r="Z41" s="145" t="s">
        <v>1235</v>
      </c>
      <c r="AA41" s="145">
        <v>3859</v>
      </c>
      <c r="AB41" s="148">
        <v>3570</v>
      </c>
      <c r="AC41" s="99">
        <f t="shared" si="0"/>
        <v>46.62400417918245</v>
      </c>
      <c r="AD41" s="145">
        <v>179</v>
      </c>
      <c r="AE41" s="145">
        <v>48</v>
      </c>
      <c r="AF41" s="145">
        <v>7432</v>
      </c>
      <c r="AG41" s="145" t="s">
        <v>1541</v>
      </c>
      <c r="AH41" s="134">
        <v>715</v>
      </c>
      <c r="AI41" s="108">
        <v>9.34</v>
      </c>
      <c r="AJ41" s="95">
        <v>582</v>
      </c>
      <c r="AK41" s="95">
        <v>7.6</v>
      </c>
      <c r="AL41" s="95">
        <v>246</v>
      </c>
      <c r="AM41" s="95">
        <v>3.21</v>
      </c>
      <c r="AN41" s="95">
        <v>1188</v>
      </c>
      <c r="AO41" s="95">
        <v>15.51</v>
      </c>
      <c r="AP41" s="145">
        <v>1378</v>
      </c>
      <c r="AQ41" s="145">
        <v>881</v>
      </c>
      <c r="AR41" s="145">
        <v>812</v>
      </c>
      <c r="AS41" s="145">
        <v>92.17</v>
      </c>
      <c r="AT41" s="148">
        <v>1033</v>
      </c>
      <c r="AU41" s="148">
        <v>455</v>
      </c>
      <c r="AV41" s="148">
        <v>44.05</v>
      </c>
      <c r="AW41" s="145">
        <v>1254</v>
      </c>
      <c r="AX41" s="145">
        <v>874</v>
      </c>
      <c r="AY41" s="145" t="s">
        <v>1804</v>
      </c>
      <c r="AZ41" s="145">
        <v>857</v>
      </c>
      <c r="BA41" s="145">
        <v>98.05</v>
      </c>
      <c r="BB41" s="145">
        <v>858</v>
      </c>
      <c r="BC41" s="145" t="s">
        <v>1550</v>
      </c>
      <c r="BD41" s="148">
        <v>845</v>
      </c>
      <c r="BE41" s="148">
        <v>96.68</v>
      </c>
      <c r="BF41" s="145">
        <v>829</v>
      </c>
      <c r="BG41" s="145">
        <v>819</v>
      </c>
      <c r="BH41" s="145" t="s">
        <v>1602</v>
      </c>
      <c r="BI41" s="145">
        <v>7565</v>
      </c>
      <c r="BJ41" s="145">
        <v>7510</v>
      </c>
      <c r="BK41" s="145">
        <v>1039</v>
      </c>
      <c r="BL41" s="145">
        <v>1037</v>
      </c>
      <c r="BM41" s="145" t="s">
        <v>1501</v>
      </c>
      <c r="BN41" s="145">
        <v>936</v>
      </c>
      <c r="BO41" s="145">
        <v>936</v>
      </c>
      <c r="BP41" s="145">
        <v>8291</v>
      </c>
      <c r="BQ41" s="145">
        <v>8291</v>
      </c>
      <c r="BR41" s="145">
        <v>7851</v>
      </c>
      <c r="BS41" s="145">
        <v>100</v>
      </c>
      <c r="BT41" s="145">
        <v>1765</v>
      </c>
      <c r="BU41" s="145">
        <v>1755</v>
      </c>
      <c r="BV41" s="145" t="s">
        <v>1805</v>
      </c>
      <c r="BW41" s="145">
        <v>9330</v>
      </c>
      <c r="BX41" s="145">
        <v>8888</v>
      </c>
      <c r="BY41" s="145" t="s">
        <v>1806</v>
      </c>
      <c r="BZ41" s="145">
        <v>11095</v>
      </c>
      <c r="CA41" s="145">
        <v>10643</v>
      </c>
      <c r="CB41" s="145" t="s">
        <v>1807</v>
      </c>
      <c r="CC41" s="95">
        <v>1648</v>
      </c>
      <c r="CD41" s="95">
        <v>4</v>
      </c>
      <c r="CE41" s="95">
        <v>0.24</v>
      </c>
      <c r="CF41" s="95">
        <v>2084</v>
      </c>
      <c r="CG41" s="95">
        <v>30</v>
      </c>
      <c r="CH41" s="95">
        <v>1.44</v>
      </c>
      <c r="CI41" s="95">
        <v>7328</v>
      </c>
      <c r="CJ41" s="95">
        <v>211</v>
      </c>
      <c r="CK41" s="95">
        <v>2.88</v>
      </c>
      <c r="CL41" s="145" t="s">
        <v>1441</v>
      </c>
      <c r="CM41" s="145">
        <v>0</v>
      </c>
      <c r="CN41" s="145">
        <v>0</v>
      </c>
      <c r="CO41" s="145">
        <v>0</v>
      </c>
      <c r="CP41" s="145">
        <v>9</v>
      </c>
      <c r="CQ41" s="145">
        <v>0</v>
      </c>
      <c r="CR41" s="145">
        <v>0</v>
      </c>
      <c r="CS41" s="145">
        <v>31</v>
      </c>
      <c r="CT41" s="145">
        <v>2</v>
      </c>
      <c r="CU41" s="145" t="s">
        <v>1467</v>
      </c>
      <c r="CV41" s="145">
        <v>40</v>
      </c>
      <c r="CW41" s="148">
        <v>2</v>
      </c>
      <c r="CX41" s="148">
        <v>5</v>
      </c>
      <c r="CY41" s="109">
        <v>886</v>
      </c>
      <c r="CZ41" s="95">
        <v>65</v>
      </c>
      <c r="DA41" s="95">
        <v>7.34</v>
      </c>
    </row>
    <row r="42" spans="1:105" x14ac:dyDescent="0.3">
      <c r="A42" s="211" t="s">
        <v>312</v>
      </c>
      <c r="B42" s="211"/>
      <c r="C42" s="145">
        <v>2678401</v>
      </c>
      <c r="D42" s="145">
        <v>528051</v>
      </c>
      <c r="E42" s="145">
        <v>992842</v>
      </c>
      <c r="F42" s="145">
        <v>1520919</v>
      </c>
      <c r="G42" s="145">
        <v>503295</v>
      </c>
      <c r="H42" s="145" t="s">
        <v>1808</v>
      </c>
      <c r="I42" s="145">
        <v>959189</v>
      </c>
      <c r="J42" s="145" t="s">
        <v>1809</v>
      </c>
      <c r="K42" s="145">
        <v>1462457</v>
      </c>
      <c r="L42" s="145">
        <v>96.16</v>
      </c>
      <c r="M42" s="145">
        <v>503188</v>
      </c>
      <c r="N42" s="145" t="s">
        <v>1810</v>
      </c>
      <c r="O42" s="145">
        <v>958959</v>
      </c>
      <c r="P42" s="145" t="s">
        <v>1811</v>
      </c>
      <c r="Q42" s="145">
        <v>1462124</v>
      </c>
      <c r="R42" s="145" t="s">
        <v>1812</v>
      </c>
      <c r="S42" s="145">
        <v>503125</v>
      </c>
      <c r="T42" s="145" t="s">
        <v>1813</v>
      </c>
      <c r="U42" s="145">
        <v>958946</v>
      </c>
      <c r="V42" s="145" t="s">
        <v>1811</v>
      </c>
      <c r="W42" s="149">
        <v>1462055</v>
      </c>
      <c r="X42" s="145">
        <v>96.13</v>
      </c>
      <c r="Y42" s="145">
        <v>1501475</v>
      </c>
      <c r="Z42" s="145" t="s">
        <v>1710</v>
      </c>
      <c r="AA42" s="145">
        <v>776772</v>
      </c>
      <c r="AB42" s="148">
        <v>626629</v>
      </c>
      <c r="AC42" s="99">
        <f t="shared" si="0"/>
        <v>42.859468351053827</v>
      </c>
      <c r="AD42" s="145">
        <v>44528</v>
      </c>
      <c r="AE42" s="145">
        <v>13775</v>
      </c>
      <c r="AF42" s="145">
        <v>1403391</v>
      </c>
      <c r="AG42" s="145" t="s">
        <v>1814</v>
      </c>
      <c r="AH42" s="105">
        <v>141184</v>
      </c>
      <c r="AI42" s="106">
        <v>9.66</v>
      </c>
      <c r="AJ42" s="101">
        <v>67989</v>
      </c>
      <c r="AK42" s="101">
        <v>4.6500000000000004</v>
      </c>
      <c r="AL42" s="101">
        <v>56204</v>
      </c>
      <c r="AM42" s="101">
        <v>3.84</v>
      </c>
      <c r="AN42" s="101">
        <v>140875</v>
      </c>
      <c r="AO42" s="101">
        <v>9.6300000000000008</v>
      </c>
      <c r="AP42" s="145">
        <v>294595</v>
      </c>
      <c r="AQ42" s="145">
        <v>200116</v>
      </c>
      <c r="AR42" s="145">
        <v>179652</v>
      </c>
      <c r="AS42" s="145">
        <v>89.77</v>
      </c>
      <c r="AT42" s="148">
        <v>180919</v>
      </c>
      <c r="AU42" s="148">
        <v>110095</v>
      </c>
      <c r="AV42" s="148">
        <v>60.85</v>
      </c>
      <c r="AW42" s="145">
        <v>199165</v>
      </c>
      <c r="AX42" s="145">
        <v>148936</v>
      </c>
      <c r="AY42" s="145" t="s">
        <v>1815</v>
      </c>
      <c r="AZ42" s="145">
        <v>142817</v>
      </c>
      <c r="BA42" s="145">
        <v>95.89</v>
      </c>
      <c r="BB42" s="145">
        <v>146274</v>
      </c>
      <c r="BC42" s="145" t="s">
        <v>1035</v>
      </c>
      <c r="BD42" s="148">
        <v>141953</v>
      </c>
      <c r="BE42" s="148">
        <v>95.31</v>
      </c>
      <c r="BF42" s="145">
        <v>172835</v>
      </c>
      <c r="BG42" s="145">
        <v>166551</v>
      </c>
      <c r="BH42" s="145" t="s">
        <v>1816</v>
      </c>
      <c r="BI42" s="145">
        <v>1611264</v>
      </c>
      <c r="BJ42" s="145">
        <v>1567613</v>
      </c>
      <c r="BK42" s="145">
        <v>237475</v>
      </c>
      <c r="BL42" s="145">
        <v>230349</v>
      </c>
      <c r="BM42" s="145">
        <v>97</v>
      </c>
      <c r="BN42" s="145">
        <v>161697</v>
      </c>
      <c r="BO42" s="145">
        <v>157569</v>
      </c>
      <c r="BP42" s="145">
        <v>1572365</v>
      </c>
      <c r="BQ42" s="145">
        <v>1545845</v>
      </c>
      <c r="BR42" s="145">
        <v>1485365</v>
      </c>
      <c r="BS42" s="145" t="s">
        <v>1817</v>
      </c>
      <c r="BT42" s="145">
        <v>334532</v>
      </c>
      <c r="BU42" s="145">
        <v>324120</v>
      </c>
      <c r="BV42" s="145" t="s">
        <v>1659</v>
      </c>
      <c r="BW42" s="145">
        <v>1809840</v>
      </c>
      <c r="BX42" s="145">
        <v>1715714</v>
      </c>
      <c r="BY42" s="145" t="s">
        <v>457</v>
      </c>
      <c r="BZ42" s="145">
        <v>2144372</v>
      </c>
      <c r="CA42" s="145">
        <v>2039834</v>
      </c>
      <c r="CB42" s="145" t="s">
        <v>1471</v>
      </c>
      <c r="CC42" s="95">
        <v>334648</v>
      </c>
      <c r="CD42" s="95">
        <v>27677</v>
      </c>
      <c r="CE42" s="95">
        <v>8.27</v>
      </c>
      <c r="CF42" s="95">
        <v>485088</v>
      </c>
      <c r="CG42" s="95">
        <v>30651</v>
      </c>
      <c r="CH42" s="95">
        <v>6.32</v>
      </c>
      <c r="CI42" s="95">
        <v>2381579</v>
      </c>
      <c r="CJ42" s="95">
        <v>80218</v>
      </c>
      <c r="CK42" s="95">
        <v>3.37</v>
      </c>
      <c r="CL42" s="145" t="s">
        <v>1441</v>
      </c>
      <c r="CM42" s="145">
        <v>940</v>
      </c>
      <c r="CN42" s="145">
        <v>318</v>
      </c>
      <c r="CO42" s="145" t="s">
        <v>1818</v>
      </c>
      <c r="CP42" s="145">
        <v>3751</v>
      </c>
      <c r="CQ42" s="145">
        <v>1549</v>
      </c>
      <c r="CR42" s="145" t="s">
        <v>1819</v>
      </c>
      <c r="CS42" s="145">
        <v>6730</v>
      </c>
      <c r="CT42" s="145">
        <v>2487</v>
      </c>
      <c r="CU42" s="145" t="s">
        <v>1820</v>
      </c>
      <c r="CV42" s="145">
        <v>10481</v>
      </c>
      <c r="CW42" s="148">
        <v>4036</v>
      </c>
      <c r="CX42" s="148">
        <v>38.51</v>
      </c>
      <c r="CY42" s="109">
        <v>288270</v>
      </c>
      <c r="CZ42" s="95">
        <v>14790</v>
      </c>
      <c r="DA42" s="95">
        <v>5.13</v>
      </c>
    </row>
  </sheetData>
  <mergeCells count="46">
    <mergeCell ref="BF3:CB3"/>
    <mergeCell ref="CY4:DA4"/>
    <mergeCell ref="CL4:CL5"/>
    <mergeCell ref="CM4:CX4"/>
    <mergeCell ref="C4:C5"/>
    <mergeCell ref="I4:I5"/>
    <mergeCell ref="J4:J5"/>
    <mergeCell ref="K4:K5"/>
    <mergeCell ref="AF3:AM3"/>
    <mergeCell ref="O4:O5"/>
    <mergeCell ref="AJ4:AK4"/>
    <mergeCell ref="U4:U5"/>
    <mergeCell ref="AN3:BE3"/>
    <mergeCell ref="CC3:DA3"/>
    <mergeCell ref="A42:B42"/>
    <mergeCell ref="BT4:CB4"/>
    <mergeCell ref="CC4:CE4"/>
    <mergeCell ref="CF4:CH4"/>
    <mergeCell ref="CI4:CK4"/>
    <mergeCell ref="AL4:AM4"/>
    <mergeCell ref="AN4:AO4"/>
    <mergeCell ref="AP4:AS4"/>
    <mergeCell ref="AT4:AV4"/>
    <mergeCell ref="AW4:BE4"/>
    <mergeCell ref="BF4:BS4"/>
    <mergeCell ref="V4:V5"/>
    <mergeCell ref="W4:W5"/>
    <mergeCell ref="X4:X5"/>
    <mergeCell ref="Y4:AG4"/>
    <mergeCell ref="AH4:AI4"/>
    <mergeCell ref="A3:A6"/>
    <mergeCell ref="B3:B6"/>
    <mergeCell ref="C3:AE3"/>
    <mergeCell ref="D4:D5"/>
    <mergeCell ref="E4:E5"/>
    <mergeCell ref="F4:F5"/>
    <mergeCell ref="G4:G5"/>
    <mergeCell ref="H4:H5"/>
    <mergeCell ref="P4:P5"/>
    <mergeCell ref="Q4:Q5"/>
    <mergeCell ref="R4:R5"/>
    <mergeCell ref="S4:S5"/>
    <mergeCell ref="T4:T5"/>
    <mergeCell ref="L4:L5"/>
    <mergeCell ref="M4:M5"/>
    <mergeCell ref="N4:N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6116-89C2-4898-980E-FEB01FE1C163}">
  <dimension ref="A1:AQ42"/>
  <sheetViews>
    <sheetView topLeftCell="X1" workbookViewId="0">
      <selection activeCell="AB8" sqref="AB8"/>
    </sheetView>
  </sheetViews>
  <sheetFormatPr defaultRowHeight="14.4" x14ac:dyDescent="0.3"/>
  <cols>
    <col min="1" max="1" width="3.21875" bestFit="1" customWidth="1"/>
    <col min="2" max="2" width="24.33203125" bestFit="1" customWidth="1"/>
    <col min="3" max="3" width="21" hidden="1" customWidth="1"/>
    <col min="4" max="4" width="24.77734375" hidden="1" customWidth="1"/>
    <col min="5" max="5" width="23.44140625" hidden="1" customWidth="1"/>
    <col min="6" max="6" width="20.21875" hidden="1" customWidth="1"/>
    <col min="7" max="7" width="15.5546875" hidden="1" customWidth="1"/>
    <col min="8" max="8" width="5.33203125" hidden="1" customWidth="1"/>
    <col min="9" max="9" width="34.88671875" hidden="1" customWidth="1"/>
    <col min="10" max="10" width="5.33203125" hidden="1" customWidth="1"/>
    <col min="11" max="11" width="34.88671875" hidden="1" customWidth="1"/>
    <col min="12" max="12" width="5.33203125" hidden="1" customWidth="1"/>
    <col min="13" max="13" width="14.33203125" hidden="1" customWidth="1"/>
    <col min="14" max="16" width="34.88671875" hidden="1" customWidth="1"/>
    <col min="17" max="17" width="5.33203125" hidden="1" customWidth="1"/>
    <col min="18" max="18" width="24.109375" hidden="1" customWidth="1"/>
    <col min="19" max="20" width="34.88671875" hidden="1" customWidth="1"/>
    <col min="21" max="21" width="32.44140625" bestFit="1" customWidth="1"/>
    <col min="22" max="22" width="5.44140625" bestFit="1" customWidth="1"/>
    <col min="23" max="23" width="34.109375" bestFit="1" customWidth="1"/>
    <col min="24" max="24" width="15.33203125" bestFit="1" customWidth="1"/>
    <col min="25" max="25" width="5.44140625" bestFit="1" customWidth="1"/>
    <col min="26" max="26" width="26.109375" bestFit="1" customWidth="1"/>
    <col min="27" max="27" width="30.6640625" bestFit="1" customWidth="1"/>
    <col min="28" max="28" width="5.44140625" bestFit="1" customWidth="1"/>
    <col min="29" max="29" width="15.33203125" bestFit="1" customWidth="1"/>
    <col min="30" max="30" width="16.21875" customWidth="1"/>
    <col min="31" max="36" width="34.88671875" hidden="1" customWidth="1"/>
    <col min="37" max="37" width="14.44140625" customWidth="1"/>
    <col min="38" max="38" width="31.33203125" bestFit="1" customWidth="1"/>
    <col min="39" max="43" width="8.77734375" customWidth="1"/>
  </cols>
  <sheetData>
    <row r="1" spans="1:43" x14ac:dyDescent="0.3">
      <c r="A1" s="128" t="s">
        <v>563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8"/>
      <c r="AP1" s="128"/>
      <c r="AQ1" s="128"/>
    </row>
    <row r="2" spans="1:43" x14ac:dyDescent="0.3">
      <c r="A2" s="128" t="s">
        <v>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ht="43.5" customHeight="1" x14ac:dyDescent="0.3">
      <c r="A3" s="210" t="s">
        <v>1</v>
      </c>
      <c r="B3" s="210" t="s">
        <v>2</v>
      </c>
      <c r="C3" s="210" t="s">
        <v>199</v>
      </c>
      <c r="D3" s="210"/>
      <c r="E3" s="210"/>
      <c r="F3" s="210"/>
      <c r="G3" s="210"/>
      <c r="H3" s="210"/>
      <c r="I3" s="210" t="s">
        <v>200</v>
      </c>
      <c r="J3" s="210"/>
      <c r="K3" s="210" t="s">
        <v>201</v>
      </c>
      <c r="L3" s="210"/>
      <c r="M3" s="210" t="s">
        <v>202</v>
      </c>
      <c r="N3" s="210"/>
      <c r="O3" s="210"/>
      <c r="P3" s="210"/>
      <c r="Q3" s="210"/>
      <c r="R3" s="210"/>
      <c r="S3" s="210"/>
      <c r="T3" s="210"/>
      <c r="U3" s="210"/>
      <c r="V3" s="210"/>
      <c r="W3" s="210" t="s">
        <v>203</v>
      </c>
      <c r="X3" s="210"/>
      <c r="Y3" s="210"/>
      <c r="Z3" s="210" t="s">
        <v>204</v>
      </c>
      <c r="AA3" s="210"/>
      <c r="AB3" s="210"/>
      <c r="AC3" s="210"/>
      <c r="AD3" s="210" t="s">
        <v>205</v>
      </c>
      <c r="AE3" s="210"/>
      <c r="AF3" s="210"/>
      <c r="AG3" s="210"/>
      <c r="AH3" s="210"/>
      <c r="AI3" s="210"/>
      <c r="AJ3" s="210"/>
      <c r="AK3" s="210"/>
      <c r="AL3" s="210"/>
      <c r="AM3" s="210"/>
      <c r="AN3" s="210"/>
      <c r="AO3" s="210"/>
      <c r="AP3" s="210"/>
      <c r="AQ3" s="210"/>
    </row>
    <row r="4" spans="1:43" ht="51" customHeight="1" x14ac:dyDescent="0.3">
      <c r="A4" s="210"/>
      <c r="B4" s="210"/>
      <c r="C4" s="210" t="s">
        <v>206</v>
      </c>
      <c r="D4" s="210"/>
      <c r="E4" s="210"/>
      <c r="F4" s="210"/>
      <c r="G4" s="210"/>
      <c r="H4" s="210" t="s">
        <v>3</v>
      </c>
      <c r="I4" s="210" t="s">
        <v>207</v>
      </c>
      <c r="J4" s="210" t="s">
        <v>3</v>
      </c>
      <c r="K4" s="210" t="s">
        <v>208</v>
      </c>
      <c r="L4" s="210" t="s">
        <v>3</v>
      </c>
      <c r="M4" s="210" t="s">
        <v>209</v>
      </c>
      <c r="N4" s="210" t="s">
        <v>210</v>
      </c>
      <c r="O4" s="210" t="s">
        <v>211</v>
      </c>
      <c r="P4" s="210" t="s">
        <v>212</v>
      </c>
      <c r="Q4" s="210" t="s">
        <v>3</v>
      </c>
      <c r="R4" s="210" t="s">
        <v>213</v>
      </c>
      <c r="S4" s="210" t="s">
        <v>214</v>
      </c>
      <c r="T4" s="210" t="s">
        <v>215</v>
      </c>
      <c r="U4" s="212" t="s">
        <v>216</v>
      </c>
      <c r="V4" s="212" t="s">
        <v>3</v>
      </c>
      <c r="W4" s="210" t="s">
        <v>217</v>
      </c>
      <c r="X4" s="212" t="s">
        <v>218</v>
      </c>
      <c r="Y4" s="212" t="s">
        <v>3</v>
      </c>
      <c r="Z4" s="210" t="s">
        <v>219</v>
      </c>
      <c r="AA4" s="212" t="s">
        <v>220</v>
      </c>
      <c r="AB4" s="212" t="s">
        <v>3</v>
      </c>
      <c r="AC4" s="210" t="s">
        <v>221</v>
      </c>
      <c r="AD4" s="214" t="s">
        <v>222</v>
      </c>
      <c r="AE4" s="210" t="s">
        <v>223</v>
      </c>
      <c r="AF4" s="210" t="s">
        <v>224</v>
      </c>
      <c r="AG4" s="210" t="s">
        <v>225</v>
      </c>
      <c r="AH4" s="210" t="s">
        <v>226</v>
      </c>
      <c r="AI4" s="210" t="s">
        <v>227</v>
      </c>
      <c r="AJ4" s="210" t="s">
        <v>228</v>
      </c>
      <c r="AK4" s="214" t="s">
        <v>229</v>
      </c>
      <c r="AL4" s="210" t="s">
        <v>230</v>
      </c>
      <c r="AM4" s="213" t="s">
        <v>229</v>
      </c>
      <c r="AN4" s="233" t="s">
        <v>1824</v>
      </c>
      <c r="AO4" s="213" t="s">
        <v>230</v>
      </c>
      <c r="AP4" s="213" t="s">
        <v>1825</v>
      </c>
      <c r="AQ4" s="128"/>
    </row>
    <row r="5" spans="1:43" ht="43.2" x14ac:dyDescent="0.3">
      <c r="A5" s="210"/>
      <c r="B5" s="210"/>
      <c r="C5" s="129" t="s">
        <v>231</v>
      </c>
      <c r="D5" s="129" t="s">
        <v>232</v>
      </c>
      <c r="E5" s="129" t="s">
        <v>233</v>
      </c>
      <c r="F5" s="129" t="s">
        <v>234</v>
      </c>
      <c r="G5" s="131" t="s">
        <v>206</v>
      </c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2"/>
      <c r="V5" s="212"/>
      <c r="W5" s="210"/>
      <c r="X5" s="212"/>
      <c r="Y5" s="212"/>
      <c r="Z5" s="210"/>
      <c r="AA5" s="212"/>
      <c r="AB5" s="212"/>
      <c r="AC5" s="210"/>
      <c r="AD5" s="214"/>
      <c r="AE5" s="210"/>
      <c r="AF5" s="210"/>
      <c r="AG5" s="210"/>
      <c r="AH5" s="210"/>
      <c r="AI5" s="210"/>
      <c r="AJ5" s="210"/>
      <c r="AK5" s="214"/>
      <c r="AL5" s="210"/>
      <c r="AM5" s="213"/>
      <c r="AN5" s="233"/>
      <c r="AO5" s="213"/>
      <c r="AP5" s="213"/>
      <c r="AQ5" s="128"/>
    </row>
    <row r="6" spans="1:43" ht="28.8" x14ac:dyDescent="0.3">
      <c r="A6" s="129" t="s">
        <v>235</v>
      </c>
      <c r="B6" s="129" t="s">
        <v>236</v>
      </c>
      <c r="C6" s="129" t="s">
        <v>237</v>
      </c>
      <c r="D6" s="129" t="s">
        <v>238</v>
      </c>
      <c r="E6" s="129" t="s">
        <v>239</v>
      </c>
      <c r="F6" s="129" t="s">
        <v>240</v>
      </c>
      <c r="G6" s="131" t="s">
        <v>241</v>
      </c>
      <c r="H6" s="129" t="s">
        <v>242</v>
      </c>
      <c r="I6" s="129" t="s">
        <v>243</v>
      </c>
      <c r="J6" s="129" t="s">
        <v>244</v>
      </c>
      <c r="K6" s="129" t="s">
        <v>245</v>
      </c>
      <c r="L6" s="129" t="s">
        <v>246</v>
      </c>
      <c r="M6" s="129" t="s">
        <v>247</v>
      </c>
      <c r="N6" s="129" t="s">
        <v>248</v>
      </c>
      <c r="O6" s="129" t="s">
        <v>249</v>
      </c>
      <c r="P6" s="129" t="s">
        <v>250</v>
      </c>
      <c r="Q6" s="129" t="s">
        <v>251</v>
      </c>
      <c r="R6" s="129" t="s">
        <v>252</v>
      </c>
      <c r="S6" s="129" t="s">
        <v>253</v>
      </c>
      <c r="T6" s="129" t="s">
        <v>254</v>
      </c>
      <c r="U6" s="131" t="s">
        <v>255</v>
      </c>
      <c r="V6" s="131" t="s">
        <v>256</v>
      </c>
      <c r="W6" s="129" t="s">
        <v>257</v>
      </c>
      <c r="X6" s="131" t="s">
        <v>258</v>
      </c>
      <c r="Y6" s="131" t="s">
        <v>259</v>
      </c>
      <c r="Z6" s="129" t="s">
        <v>260</v>
      </c>
      <c r="AA6" s="131" t="s">
        <v>261</v>
      </c>
      <c r="AB6" s="131" t="s">
        <v>262</v>
      </c>
      <c r="AC6" s="129" t="s">
        <v>263</v>
      </c>
      <c r="AD6" s="120" t="s">
        <v>264</v>
      </c>
      <c r="AE6" s="129" t="s">
        <v>265</v>
      </c>
      <c r="AF6" s="129" t="s">
        <v>266</v>
      </c>
      <c r="AG6" s="129" t="s">
        <v>267</v>
      </c>
      <c r="AH6" s="129" t="s">
        <v>268</v>
      </c>
      <c r="AI6" s="129" t="s">
        <v>269</v>
      </c>
      <c r="AJ6" s="129" t="s">
        <v>270</v>
      </c>
      <c r="AK6" s="120" t="s">
        <v>271</v>
      </c>
      <c r="AL6" s="129" t="s">
        <v>272</v>
      </c>
      <c r="AM6" s="144" t="s">
        <v>564</v>
      </c>
      <c r="AN6" s="144" t="s">
        <v>565</v>
      </c>
      <c r="AO6" s="144" t="s">
        <v>566</v>
      </c>
      <c r="AP6" s="144" t="s">
        <v>567</v>
      </c>
      <c r="AQ6" s="128"/>
    </row>
    <row r="7" spans="1:43" ht="28.8" x14ac:dyDescent="0.3">
      <c r="A7" s="130">
        <v>1</v>
      </c>
      <c r="B7" s="130" t="s">
        <v>273</v>
      </c>
      <c r="C7" s="130">
        <v>12839</v>
      </c>
      <c r="D7" s="130">
        <v>653</v>
      </c>
      <c r="E7" s="130">
        <v>198</v>
      </c>
      <c r="F7" s="130">
        <v>5</v>
      </c>
      <c r="G7" s="132">
        <v>856</v>
      </c>
      <c r="H7" s="130">
        <v>6.67</v>
      </c>
      <c r="I7" s="130">
        <v>354</v>
      </c>
      <c r="J7" s="130" t="s">
        <v>568</v>
      </c>
      <c r="K7" s="130">
        <v>38</v>
      </c>
      <c r="L7" s="130" t="s">
        <v>569</v>
      </c>
      <c r="M7" s="130">
        <v>34524</v>
      </c>
      <c r="N7" s="130">
        <v>8308</v>
      </c>
      <c r="O7" s="130">
        <v>1208</v>
      </c>
      <c r="P7" s="130">
        <v>9516</v>
      </c>
      <c r="Q7" s="130" t="s">
        <v>570</v>
      </c>
      <c r="R7" s="130">
        <v>34368</v>
      </c>
      <c r="S7" s="130">
        <v>3652</v>
      </c>
      <c r="T7" s="130">
        <v>1175</v>
      </c>
      <c r="U7" s="132">
        <v>4827</v>
      </c>
      <c r="V7" s="132">
        <v>14.05</v>
      </c>
      <c r="W7" s="130">
        <v>16253</v>
      </c>
      <c r="X7" s="132">
        <v>3237</v>
      </c>
      <c r="Y7" s="132">
        <v>19.920000000000002</v>
      </c>
      <c r="Z7" s="130">
        <v>833</v>
      </c>
      <c r="AA7" s="132">
        <v>212</v>
      </c>
      <c r="AB7" s="132">
        <v>25.45</v>
      </c>
      <c r="AC7" s="130">
        <v>16198</v>
      </c>
      <c r="AD7" s="95">
        <v>8291</v>
      </c>
      <c r="AE7" s="130">
        <v>13961</v>
      </c>
      <c r="AF7" s="130" t="s">
        <v>571</v>
      </c>
      <c r="AG7" s="130">
        <v>12021</v>
      </c>
      <c r="AH7" s="130" t="s">
        <v>572</v>
      </c>
      <c r="AI7" s="130">
        <v>10597</v>
      </c>
      <c r="AJ7" s="130">
        <v>9995</v>
      </c>
      <c r="AK7" s="95">
        <v>7838</v>
      </c>
      <c r="AL7" s="130">
        <v>7433</v>
      </c>
      <c r="AM7" s="130">
        <v>5342</v>
      </c>
      <c r="AN7" s="130">
        <v>64.430000000000007</v>
      </c>
      <c r="AO7" s="130">
        <v>4475</v>
      </c>
      <c r="AP7" s="130">
        <v>53.97</v>
      </c>
      <c r="AQ7" s="128"/>
    </row>
    <row r="8" spans="1:43" ht="28.8" x14ac:dyDescent="0.3">
      <c r="A8" s="130">
        <v>2</v>
      </c>
      <c r="B8" s="130" t="s">
        <v>275</v>
      </c>
      <c r="C8" s="130">
        <v>11314</v>
      </c>
      <c r="D8" s="130">
        <v>974</v>
      </c>
      <c r="E8" s="130">
        <v>329</v>
      </c>
      <c r="F8" s="130">
        <v>4</v>
      </c>
      <c r="G8" s="132">
        <v>1307</v>
      </c>
      <c r="H8" s="130">
        <v>11.55</v>
      </c>
      <c r="I8" s="130">
        <v>716</v>
      </c>
      <c r="J8" s="130" t="s">
        <v>573</v>
      </c>
      <c r="K8" s="130">
        <v>68</v>
      </c>
      <c r="L8" s="130" t="s">
        <v>574</v>
      </c>
      <c r="M8" s="130">
        <v>26187</v>
      </c>
      <c r="N8" s="130">
        <v>6250</v>
      </c>
      <c r="O8" s="130">
        <v>1298</v>
      </c>
      <c r="P8" s="130">
        <v>7548</v>
      </c>
      <c r="Q8" s="130" t="s">
        <v>575</v>
      </c>
      <c r="R8" s="130">
        <v>26003</v>
      </c>
      <c r="S8" s="130">
        <v>2708</v>
      </c>
      <c r="T8" s="130">
        <v>1234</v>
      </c>
      <c r="U8" s="132">
        <v>3942</v>
      </c>
      <c r="V8" s="132">
        <v>15.16</v>
      </c>
      <c r="W8" s="130">
        <v>15601</v>
      </c>
      <c r="X8" s="132">
        <v>3115</v>
      </c>
      <c r="Y8" s="132">
        <v>19.97</v>
      </c>
      <c r="Z8" s="130">
        <v>1029</v>
      </c>
      <c r="AA8" s="132">
        <v>174</v>
      </c>
      <c r="AB8" s="132">
        <v>16.91</v>
      </c>
      <c r="AC8" s="130">
        <v>15615</v>
      </c>
      <c r="AD8" s="95">
        <v>7670</v>
      </c>
      <c r="AE8" s="130">
        <v>13437</v>
      </c>
      <c r="AF8" s="130" t="s">
        <v>576</v>
      </c>
      <c r="AG8" s="130">
        <v>10173</v>
      </c>
      <c r="AH8" s="130" t="s">
        <v>577</v>
      </c>
      <c r="AI8" s="130">
        <v>9094</v>
      </c>
      <c r="AJ8" s="130">
        <v>8377</v>
      </c>
      <c r="AK8" s="95">
        <v>7424</v>
      </c>
      <c r="AL8" s="130">
        <v>6971</v>
      </c>
      <c r="AM8" s="130">
        <v>3711</v>
      </c>
      <c r="AN8" s="130">
        <v>48.38</v>
      </c>
      <c r="AO8" s="130">
        <v>3149</v>
      </c>
      <c r="AP8" s="130">
        <v>41.06</v>
      </c>
      <c r="AQ8" s="128"/>
    </row>
    <row r="9" spans="1:43" ht="28.8" x14ac:dyDescent="0.3">
      <c r="A9" s="130">
        <v>3</v>
      </c>
      <c r="B9" s="130" t="s">
        <v>276</v>
      </c>
      <c r="C9" s="130">
        <v>9121</v>
      </c>
      <c r="D9" s="130">
        <v>1317</v>
      </c>
      <c r="E9" s="130">
        <v>408</v>
      </c>
      <c r="F9" s="130">
        <v>51</v>
      </c>
      <c r="G9" s="132">
        <v>1776</v>
      </c>
      <c r="H9" s="130">
        <v>19.47</v>
      </c>
      <c r="I9" s="130">
        <v>670</v>
      </c>
      <c r="J9" s="130" t="s">
        <v>578</v>
      </c>
      <c r="K9" s="130">
        <v>68</v>
      </c>
      <c r="L9" s="130" t="s">
        <v>579</v>
      </c>
      <c r="M9" s="130">
        <v>17970</v>
      </c>
      <c r="N9" s="130">
        <v>6361</v>
      </c>
      <c r="O9" s="130">
        <v>369</v>
      </c>
      <c r="P9" s="130">
        <v>6730</v>
      </c>
      <c r="Q9" s="130" t="s">
        <v>580</v>
      </c>
      <c r="R9" s="130">
        <v>17790</v>
      </c>
      <c r="S9" s="130">
        <v>1798</v>
      </c>
      <c r="T9" s="130">
        <v>322</v>
      </c>
      <c r="U9" s="132">
        <v>2120</v>
      </c>
      <c r="V9" s="132">
        <v>11.92</v>
      </c>
      <c r="W9" s="130">
        <v>10662</v>
      </c>
      <c r="X9" s="132">
        <v>2467</v>
      </c>
      <c r="Y9" s="132">
        <v>23.14</v>
      </c>
      <c r="Z9" s="130">
        <v>727</v>
      </c>
      <c r="AA9" s="132">
        <v>346</v>
      </c>
      <c r="AB9" s="132">
        <v>47.59</v>
      </c>
      <c r="AC9" s="130">
        <v>10664</v>
      </c>
      <c r="AD9" s="95">
        <v>5697</v>
      </c>
      <c r="AE9" s="130">
        <v>9897</v>
      </c>
      <c r="AF9" s="130" t="s">
        <v>581</v>
      </c>
      <c r="AG9" s="130">
        <v>8248</v>
      </c>
      <c r="AH9" s="130" t="s">
        <v>582</v>
      </c>
      <c r="AI9" s="130">
        <v>7230</v>
      </c>
      <c r="AJ9" s="130">
        <v>6926</v>
      </c>
      <c r="AK9" s="95">
        <v>5632</v>
      </c>
      <c r="AL9" s="130">
        <v>5556</v>
      </c>
      <c r="AM9" s="130">
        <v>3028</v>
      </c>
      <c r="AN9" s="130">
        <v>53.15</v>
      </c>
      <c r="AO9" s="130">
        <v>2619</v>
      </c>
      <c r="AP9" s="130">
        <v>45.97</v>
      </c>
      <c r="AQ9" s="128"/>
    </row>
    <row r="10" spans="1:43" ht="28.8" x14ac:dyDescent="0.3">
      <c r="A10" s="130">
        <v>4</v>
      </c>
      <c r="B10" s="130" t="s">
        <v>277</v>
      </c>
      <c r="C10" s="130">
        <v>8030</v>
      </c>
      <c r="D10" s="130">
        <v>750</v>
      </c>
      <c r="E10" s="130">
        <v>204</v>
      </c>
      <c r="F10" s="130">
        <v>1</v>
      </c>
      <c r="G10" s="132">
        <v>955</v>
      </c>
      <c r="H10" s="130">
        <v>11.89</v>
      </c>
      <c r="I10" s="130">
        <v>513</v>
      </c>
      <c r="J10" s="130" t="s">
        <v>583</v>
      </c>
      <c r="K10" s="130">
        <v>58</v>
      </c>
      <c r="L10" s="130" t="s">
        <v>584</v>
      </c>
      <c r="M10" s="130">
        <v>15505</v>
      </c>
      <c r="N10" s="130">
        <v>6581</v>
      </c>
      <c r="O10" s="130">
        <v>198</v>
      </c>
      <c r="P10" s="130">
        <v>6779</v>
      </c>
      <c r="Q10" s="130" t="s">
        <v>585</v>
      </c>
      <c r="R10" s="130">
        <v>15451</v>
      </c>
      <c r="S10" s="130">
        <v>2760</v>
      </c>
      <c r="T10" s="130">
        <v>237</v>
      </c>
      <c r="U10" s="132">
        <v>2997</v>
      </c>
      <c r="V10" s="132">
        <v>19.399999999999999</v>
      </c>
      <c r="W10" s="130">
        <v>9261</v>
      </c>
      <c r="X10" s="132">
        <v>2162</v>
      </c>
      <c r="Y10" s="132">
        <v>23.35</v>
      </c>
      <c r="Z10" s="130">
        <v>1183</v>
      </c>
      <c r="AA10" s="132">
        <v>381</v>
      </c>
      <c r="AB10" s="132">
        <v>32.21</v>
      </c>
      <c r="AC10" s="130">
        <v>9263</v>
      </c>
      <c r="AD10" s="95">
        <v>4840</v>
      </c>
      <c r="AE10" s="130">
        <v>8432</v>
      </c>
      <c r="AF10" s="130" t="s">
        <v>586</v>
      </c>
      <c r="AG10" s="130">
        <v>7066</v>
      </c>
      <c r="AH10" s="130" t="s">
        <v>587</v>
      </c>
      <c r="AI10" s="130">
        <v>6258</v>
      </c>
      <c r="AJ10" s="130">
        <v>5922</v>
      </c>
      <c r="AK10" s="95">
        <v>4266</v>
      </c>
      <c r="AL10" s="130">
        <v>4082</v>
      </c>
      <c r="AM10" s="130">
        <v>2885</v>
      </c>
      <c r="AN10" s="130">
        <v>59.61</v>
      </c>
      <c r="AO10" s="130">
        <v>2606</v>
      </c>
      <c r="AP10" s="130">
        <v>53.84</v>
      </c>
      <c r="AQ10" s="128"/>
    </row>
    <row r="11" spans="1:43" ht="28.8" x14ac:dyDescent="0.3">
      <c r="A11" s="130">
        <v>5</v>
      </c>
      <c r="B11" s="130" t="s">
        <v>279</v>
      </c>
      <c r="C11" s="130">
        <v>7656</v>
      </c>
      <c r="D11" s="130">
        <v>1518</v>
      </c>
      <c r="E11" s="130">
        <v>495</v>
      </c>
      <c r="F11" s="130">
        <v>7</v>
      </c>
      <c r="G11" s="132">
        <v>2020</v>
      </c>
      <c r="H11" s="130">
        <v>26.38</v>
      </c>
      <c r="I11" s="130">
        <v>659</v>
      </c>
      <c r="J11" s="130" t="s">
        <v>588</v>
      </c>
      <c r="K11" s="130">
        <v>25</v>
      </c>
      <c r="L11" s="130" t="s">
        <v>589</v>
      </c>
      <c r="M11" s="130">
        <v>21799</v>
      </c>
      <c r="N11" s="130">
        <v>4141</v>
      </c>
      <c r="O11" s="130">
        <v>169</v>
      </c>
      <c r="P11" s="130">
        <v>4310</v>
      </c>
      <c r="Q11" s="130" t="s">
        <v>590</v>
      </c>
      <c r="R11" s="130">
        <v>21678</v>
      </c>
      <c r="S11" s="130">
        <v>1259</v>
      </c>
      <c r="T11" s="130">
        <v>134</v>
      </c>
      <c r="U11" s="132">
        <v>1393</v>
      </c>
      <c r="V11" s="132">
        <v>6.43</v>
      </c>
      <c r="W11" s="130">
        <v>13094</v>
      </c>
      <c r="X11" s="132">
        <v>2938</v>
      </c>
      <c r="Y11" s="132">
        <v>22.44</v>
      </c>
      <c r="Z11" s="130">
        <v>746</v>
      </c>
      <c r="AA11" s="132">
        <v>125</v>
      </c>
      <c r="AB11" s="132">
        <v>16.760000000000002</v>
      </c>
      <c r="AC11" s="130">
        <v>13102</v>
      </c>
      <c r="AD11" s="95">
        <v>5606</v>
      </c>
      <c r="AE11" s="130">
        <v>10621</v>
      </c>
      <c r="AF11" s="130" t="s">
        <v>591</v>
      </c>
      <c r="AG11" s="130">
        <v>6105</v>
      </c>
      <c r="AH11" s="130" t="s">
        <v>592</v>
      </c>
      <c r="AI11" s="130">
        <v>3310</v>
      </c>
      <c r="AJ11" s="130">
        <v>2774</v>
      </c>
      <c r="AK11" s="95">
        <v>3656</v>
      </c>
      <c r="AL11" s="130">
        <v>3241</v>
      </c>
      <c r="AM11" s="130">
        <v>490</v>
      </c>
      <c r="AN11" s="130">
        <v>8.74</v>
      </c>
      <c r="AO11" s="130">
        <v>342</v>
      </c>
      <c r="AP11" s="130">
        <v>6.1</v>
      </c>
      <c r="AQ11" s="128"/>
    </row>
    <row r="12" spans="1:43" ht="28.8" x14ac:dyDescent="0.3">
      <c r="A12" s="130">
        <v>6</v>
      </c>
      <c r="B12" s="130" t="s">
        <v>280</v>
      </c>
      <c r="C12" s="130">
        <v>3454</v>
      </c>
      <c r="D12" s="130">
        <v>416</v>
      </c>
      <c r="E12" s="130">
        <v>146</v>
      </c>
      <c r="F12" s="130">
        <v>2</v>
      </c>
      <c r="G12" s="132">
        <v>564</v>
      </c>
      <c r="H12" s="130">
        <v>16.329999999999998</v>
      </c>
      <c r="I12" s="130">
        <v>237</v>
      </c>
      <c r="J12" s="130" t="s">
        <v>593</v>
      </c>
      <c r="K12" s="130">
        <v>8</v>
      </c>
      <c r="L12" s="130" t="s">
        <v>594</v>
      </c>
      <c r="M12" s="130">
        <v>12710</v>
      </c>
      <c r="N12" s="130">
        <v>2603</v>
      </c>
      <c r="O12" s="130">
        <v>67</v>
      </c>
      <c r="P12" s="130">
        <v>2670</v>
      </c>
      <c r="Q12" s="130" t="s">
        <v>595</v>
      </c>
      <c r="R12" s="130">
        <v>12668</v>
      </c>
      <c r="S12" s="130">
        <v>716</v>
      </c>
      <c r="T12" s="130">
        <v>38</v>
      </c>
      <c r="U12" s="132">
        <v>754</v>
      </c>
      <c r="V12" s="132">
        <v>5.95</v>
      </c>
      <c r="W12" s="130">
        <v>4763</v>
      </c>
      <c r="X12" s="132">
        <v>1144</v>
      </c>
      <c r="Y12" s="132">
        <v>24.02</v>
      </c>
      <c r="Z12" s="130">
        <v>595</v>
      </c>
      <c r="AA12" s="132">
        <v>112</v>
      </c>
      <c r="AB12" s="132">
        <v>18.82</v>
      </c>
      <c r="AC12" s="130">
        <v>4752</v>
      </c>
      <c r="AD12" s="95">
        <v>2474</v>
      </c>
      <c r="AE12" s="130">
        <v>3918</v>
      </c>
      <c r="AF12" s="130" t="s">
        <v>596</v>
      </c>
      <c r="AG12" s="130">
        <v>2973</v>
      </c>
      <c r="AH12" s="130" t="s">
        <v>597</v>
      </c>
      <c r="AI12" s="130">
        <v>2102</v>
      </c>
      <c r="AJ12" s="130">
        <v>1882</v>
      </c>
      <c r="AK12" s="95">
        <v>1568</v>
      </c>
      <c r="AL12" s="130">
        <v>1481</v>
      </c>
      <c r="AM12" s="130">
        <v>615</v>
      </c>
      <c r="AN12" s="130">
        <v>24.86</v>
      </c>
      <c r="AO12" s="130">
        <v>493</v>
      </c>
      <c r="AP12" s="130">
        <v>19.93</v>
      </c>
      <c r="AQ12" s="128"/>
    </row>
    <row r="13" spans="1:43" ht="28.8" x14ac:dyDescent="0.3">
      <c r="A13" s="130">
        <v>7</v>
      </c>
      <c r="B13" s="130" t="s">
        <v>281</v>
      </c>
      <c r="C13" s="130">
        <v>1928</v>
      </c>
      <c r="D13" s="130">
        <v>170</v>
      </c>
      <c r="E13" s="130">
        <v>38</v>
      </c>
      <c r="F13" s="130">
        <v>1</v>
      </c>
      <c r="G13" s="132">
        <v>209</v>
      </c>
      <c r="H13" s="130">
        <v>10.84</v>
      </c>
      <c r="I13" s="130">
        <v>96</v>
      </c>
      <c r="J13" s="130" t="s">
        <v>598</v>
      </c>
      <c r="K13" s="130">
        <v>7</v>
      </c>
      <c r="L13" s="130" t="s">
        <v>599</v>
      </c>
      <c r="M13" s="130">
        <v>13758</v>
      </c>
      <c r="N13" s="130">
        <v>586</v>
      </c>
      <c r="O13" s="130">
        <v>213</v>
      </c>
      <c r="P13" s="130">
        <v>799</v>
      </c>
      <c r="Q13" s="130" t="s">
        <v>600</v>
      </c>
      <c r="R13" s="130">
        <v>13696</v>
      </c>
      <c r="S13" s="130">
        <v>102</v>
      </c>
      <c r="T13" s="130">
        <v>167</v>
      </c>
      <c r="U13" s="132">
        <v>269</v>
      </c>
      <c r="V13" s="132">
        <v>1.96</v>
      </c>
      <c r="W13" s="130">
        <v>3608</v>
      </c>
      <c r="X13" s="132">
        <v>819</v>
      </c>
      <c r="Y13" s="132">
        <v>22.7</v>
      </c>
      <c r="Z13" s="130">
        <v>981</v>
      </c>
      <c r="AA13" s="132">
        <v>190</v>
      </c>
      <c r="AB13" s="132">
        <v>19.37</v>
      </c>
      <c r="AC13" s="130">
        <v>3576</v>
      </c>
      <c r="AD13" s="95">
        <v>1283</v>
      </c>
      <c r="AE13" s="130">
        <v>2682</v>
      </c>
      <c r="AF13" s="133">
        <v>75</v>
      </c>
      <c r="AG13" s="130">
        <v>1829</v>
      </c>
      <c r="AH13" s="130" t="s">
        <v>601</v>
      </c>
      <c r="AI13" s="130">
        <v>898</v>
      </c>
      <c r="AJ13" s="130">
        <v>793</v>
      </c>
      <c r="AK13" s="95">
        <v>551</v>
      </c>
      <c r="AL13" s="130">
        <v>500</v>
      </c>
      <c r="AM13" s="130">
        <v>190</v>
      </c>
      <c r="AN13" s="130">
        <v>14.81</v>
      </c>
      <c r="AO13" s="130">
        <v>160</v>
      </c>
      <c r="AP13" s="130">
        <v>12.47</v>
      </c>
      <c r="AQ13" s="128"/>
    </row>
    <row r="14" spans="1:43" ht="28.8" x14ac:dyDescent="0.3">
      <c r="A14" s="130">
        <v>8</v>
      </c>
      <c r="B14" s="130" t="s">
        <v>282</v>
      </c>
      <c r="C14" s="130">
        <v>5039</v>
      </c>
      <c r="D14" s="130">
        <v>316</v>
      </c>
      <c r="E14" s="130">
        <v>132</v>
      </c>
      <c r="F14" s="130">
        <v>0</v>
      </c>
      <c r="G14" s="132">
        <v>448</v>
      </c>
      <c r="H14" s="130">
        <v>8.89</v>
      </c>
      <c r="I14" s="130">
        <v>198</v>
      </c>
      <c r="J14" s="130" t="s">
        <v>602</v>
      </c>
      <c r="K14" s="130">
        <v>9</v>
      </c>
      <c r="L14" s="130" t="s">
        <v>603</v>
      </c>
      <c r="M14" s="130">
        <v>22155</v>
      </c>
      <c r="N14" s="130">
        <v>3765</v>
      </c>
      <c r="O14" s="130">
        <v>210</v>
      </c>
      <c r="P14" s="130">
        <v>3975</v>
      </c>
      <c r="Q14" s="130" t="s">
        <v>604</v>
      </c>
      <c r="R14" s="130">
        <v>21991</v>
      </c>
      <c r="S14" s="130">
        <v>853</v>
      </c>
      <c r="T14" s="130">
        <v>261</v>
      </c>
      <c r="U14" s="132">
        <v>1114</v>
      </c>
      <c r="V14" s="132">
        <v>5.07</v>
      </c>
      <c r="W14" s="130">
        <v>6956</v>
      </c>
      <c r="X14" s="132">
        <v>1595</v>
      </c>
      <c r="Y14" s="132">
        <v>22.93</v>
      </c>
      <c r="Z14" s="130">
        <v>931</v>
      </c>
      <c r="AA14" s="132">
        <v>242</v>
      </c>
      <c r="AB14" s="132">
        <v>25.99</v>
      </c>
      <c r="AC14" s="130">
        <v>6972</v>
      </c>
      <c r="AD14" s="95">
        <v>2773</v>
      </c>
      <c r="AE14" s="130">
        <v>5414</v>
      </c>
      <c r="AF14" s="130" t="s">
        <v>605</v>
      </c>
      <c r="AG14" s="130">
        <v>4159</v>
      </c>
      <c r="AH14" s="130" t="s">
        <v>606</v>
      </c>
      <c r="AI14" s="130">
        <v>3140</v>
      </c>
      <c r="AJ14" s="130">
        <v>2799</v>
      </c>
      <c r="AK14" s="95">
        <v>2057</v>
      </c>
      <c r="AL14" s="130">
        <v>1906</v>
      </c>
      <c r="AM14" s="130">
        <v>748</v>
      </c>
      <c r="AN14" s="130">
        <v>26.97</v>
      </c>
      <c r="AO14" s="130">
        <v>643</v>
      </c>
      <c r="AP14" s="130">
        <v>23.19</v>
      </c>
      <c r="AQ14" s="128"/>
    </row>
    <row r="15" spans="1:43" ht="28.8" x14ac:dyDescent="0.3">
      <c r="A15" s="130">
        <v>9</v>
      </c>
      <c r="B15" s="130" t="s">
        <v>283</v>
      </c>
      <c r="C15" s="130">
        <v>5146</v>
      </c>
      <c r="D15" s="130">
        <v>397</v>
      </c>
      <c r="E15" s="130">
        <v>115</v>
      </c>
      <c r="F15" s="130">
        <v>3</v>
      </c>
      <c r="G15" s="132">
        <v>515</v>
      </c>
      <c r="H15" s="130">
        <v>10.01</v>
      </c>
      <c r="I15" s="130">
        <v>223</v>
      </c>
      <c r="J15" s="130" t="s">
        <v>607</v>
      </c>
      <c r="K15" s="130">
        <v>18</v>
      </c>
      <c r="L15" s="130" t="s">
        <v>608</v>
      </c>
      <c r="M15" s="130">
        <v>15228</v>
      </c>
      <c r="N15" s="130">
        <v>2812</v>
      </c>
      <c r="O15" s="130">
        <v>343</v>
      </c>
      <c r="P15" s="130">
        <v>3155</v>
      </c>
      <c r="Q15" s="130" t="s">
        <v>609</v>
      </c>
      <c r="R15" s="130">
        <v>15188</v>
      </c>
      <c r="S15" s="130">
        <v>812</v>
      </c>
      <c r="T15" s="130">
        <v>270</v>
      </c>
      <c r="U15" s="132">
        <v>1082</v>
      </c>
      <c r="V15" s="132">
        <v>7.12</v>
      </c>
      <c r="W15" s="130">
        <v>8441</v>
      </c>
      <c r="X15" s="132">
        <v>1669</v>
      </c>
      <c r="Y15" s="132">
        <v>19.77</v>
      </c>
      <c r="Z15" s="130">
        <v>380</v>
      </c>
      <c r="AA15" s="132">
        <v>86</v>
      </c>
      <c r="AB15" s="132">
        <v>22.63</v>
      </c>
      <c r="AC15" s="130">
        <v>8454</v>
      </c>
      <c r="AD15" s="95">
        <v>3906</v>
      </c>
      <c r="AE15" s="130">
        <v>6211</v>
      </c>
      <c r="AF15" s="130" t="s">
        <v>610</v>
      </c>
      <c r="AG15" s="130">
        <v>4340</v>
      </c>
      <c r="AH15" s="130" t="s">
        <v>611</v>
      </c>
      <c r="AI15" s="130">
        <v>3070</v>
      </c>
      <c r="AJ15" s="130">
        <v>2807</v>
      </c>
      <c r="AK15" s="95">
        <v>2400</v>
      </c>
      <c r="AL15" s="130">
        <v>2275</v>
      </c>
      <c r="AM15" s="130">
        <v>873</v>
      </c>
      <c r="AN15" s="130">
        <v>22.35</v>
      </c>
      <c r="AO15" s="130">
        <v>732</v>
      </c>
      <c r="AP15" s="130">
        <v>18.739999999999998</v>
      </c>
      <c r="AQ15" s="128"/>
    </row>
    <row r="16" spans="1:43" ht="28.8" x14ac:dyDescent="0.3">
      <c r="A16" s="130">
        <v>10</v>
      </c>
      <c r="B16" s="130" t="s">
        <v>284</v>
      </c>
      <c r="C16" s="130">
        <v>6013</v>
      </c>
      <c r="D16" s="130">
        <v>446</v>
      </c>
      <c r="E16" s="130">
        <v>134</v>
      </c>
      <c r="F16" s="130">
        <v>1</v>
      </c>
      <c r="G16" s="132">
        <v>581</v>
      </c>
      <c r="H16" s="130">
        <v>9.66</v>
      </c>
      <c r="I16" s="130">
        <v>358</v>
      </c>
      <c r="J16" s="130" t="s">
        <v>612</v>
      </c>
      <c r="K16" s="130">
        <v>54</v>
      </c>
      <c r="L16" s="130">
        <v>40</v>
      </c>
      <c r="M16" s="130">
        <v>19066</v>
      </c>
      <c r="N16" s="130">
        <v>2328</v>
      </c>
      <c r="O16" s="130">
        <v>1357</v>
      </c>
      <c r="P16" s="130">
        <v>3685</v>
      </c>
      <c r="Q16" s="130" t="s">
        <v>613</v>
      </c>
      <c r="R16" s="130">
        <v>18848</v>
      </c>
      <c r="S16" s="130">
        <v>975</v>
      </c>
      <c r="T16" s="130">
        <v>1090</v>
      </c>
      <c r="U16" s="132">
        <v>2065</v>
      </c>
      <c r="V16" s="132">
        <v>10.96</v>
      </c>
      <c r="W16" s="130">
        <v>8132</v>
      </c>
      <c r="X16" s="132">
        <v>1452</v>
      </c>
      <c r="Y16" s="132">
        <v>17.86</v>
      </c>
      <c r="Z16" s="130">
        <v>806</v>
      </c>
      <c r="AA16" s="132">
        <v>285</v>
      </c>
      <c r="AB16" s="132">
        <v>35.36</v>
      </c>
      <c r="AC16" s="130">
        <v>8142</v>
      </c>
      <c r="AD16" s="95">
        <v>4254</v>
      </c>
      <c r="AE16" s="130">
        <v>6577</v>
      </c>
      <c r="AF16" s="130" t="s">
        <v>614</v>
      </c>
      <c r="AG16" s="130">
        <v>5299</v>
      </c>
      <c r="AH16" s="130" t="s">
        <v>615</v>
      </c>
      <c r="AI16" s="130">
        <v>4530</v>
      </c>
      <c r="AJ16" s="130">
        <v>4035</v>
      </c>
      <c r="AK16" s="95">
        <v>3322</v>
      </c>
      <c r="AL16" s="130">
        <v>3115</v>
      </c>
      <c r="AM16" s="130">
        <v>1614</v>
      </c>
      <c r="AN16" s="130">
        <v>37.94</v>
      </c>
      <c r="AO16" s="130">
        <v>1340</v>
      </c>
      <c r="AP16" s="130">
        <v>31.5</v>
      </c>
      <c r="AQ16" s="128"/>
    </row>
    <row r="17" spans="1:43" ht="28.8" x14ac:dyDescent="0.3">
      <c r="A17" s="130">
        <v>11</v>
      </c>
      <c r="B17" s="130" t="s">
        <v>285</v>
      </c>
      <c r="C17" s="130">
        <v>2765</v>
      </c>
      <c r="D17" s="130">
        <v>239</v>
      </c>
      <c r="E17" s="130">
        <v>67</v>
      </c>
      <c r="F17" s="130">
        <v>1</v>
      </c>
      <c r="G17" s="132">
        <v>307</v>
      </c>
      <c r="H17" s="130">
        <v>11.1</v>
      </c>
      <c r="I17" s="130">
        <v>144</v>
      </c>
      <c r="J17" s="130" t="s">
        <v>616</v>
      </c>
      <c r="K17" s="130">
        <v>7</v>
      </c>
      <c r="L17" s="130" t="s">
        <v>617</v>
      </c>
      <c r="M17" s="130">
        <v>14291</v>
      </c>
      <c r="N17" s="130">
        <v>907</v>
      </c>
      <c r="O17" s="130">
        <v>258</v>
      </c>
      <c r="P17" s="130">
        <v>1165</v>
      </c>
      <c r="Q17" s="130" t="s">
        <v>618</v>
      </c>
      <c r="R17" s="130">
        <v>14217</v>
      </c>
      <c r="S17" s="130">
        <v>668</v>
      </c>
      <c r="T17" s="130">
        <v>1102</v>
      </c>
      <c r="U17" s="132">
        <v>1770</v>
      </c>
      <c r="V17" s="132">
        <v>12.45</v>
      </c>
      <c r="W17" s="130">
        <v>4122</v>
      </c>
      <c r="X17" s="132">
        <v>686</v>
      </c>
      <c r="Y17" s="132">
        <v>16.64</v>
      </c>
      <c r="Z17" s="130">
        <v>1194</v>
      </c>
      <c r="AA17" s="132">
        <v>565</v>
      </c>
      <c r="AB17" s="132">
        <v>47.32</v>
      </c>
      <c r="AC17" s="130">
        <v>4124</v>
      </c>
      <c r="AD17" s="95">
        <v>2137</v>
      </c>
      <c r="AE17" s="130">
        <v>3190</v>
      </c>
      <c r="AF17" s="130" t="s">
        <v>619</v>
      </c>
      <c r="AG17" s="130">
        <v>1785</v>
      </c>
      <c r="AH17" s="130" t="s">
        <v>620</v>
      </c>
      <c r="AI17" s="130">
        <v>968</v>
      </c>
      <c r="AJ17" s="130">
        <v>887</v>
      </c>
      <c r="AK17" s="95">
        <v>883</v>
      </c>
      <c r="AL17" s="130">
        <v>795</v>
      </c>
      <c r="AM17" s="130">
        <v>169</v>
      </c>
      <c r="AN17" s="130">
        <v>7.91</v>
      </c>
      <c r="AO17" s="130">
        <v>154</v>
      </c>
      <c r="AP17" s="130">
        <v>7.21</v>
      </c>
      <c r="AQ17" s="121"/>
    </row>
    <row r="18" spans="1:43" ht="28.8" x14ac:dyDescent="0.3">
      <c r="A18" s="130">
        <v>12</v>
      </c>
      <c r="B18" s="130" t="s">
        <v>287</v>
      </c>
      <c r="C18" s="130">
        <v>3947</v>
      </c>
      <c r="D18" s="130">
        <v>376</v>
      </c>
      <c r="E18" s="130">
        <v>124</v>
      </c>
      <c r="F18" s="130">
        <v>0</v>
      </c>
      <c r="G18" s="132">
        <v>500</v>
      </c>
      <c r="H18" s="130">
        <v>12.67</v>
      </c>
      <c r="I18" s="130">
        <v>230</v>
      </c>
      <c r="J18" s="130" t="s">
        <v>621</v>
      </c>
      <c r="K18" s="130">
        <v>18</v>
      </c>
      <c r="L18" s="130" t="s">
        <v>622</v>
      </c>
      <c r="M18" s="130">
        <v>12466</v>
      </c>
      <c r="N18" s="130">
        <v>2581</v>
      </c>
      <c r="O18" s="130">
        <v>125</v>
      </c>
      <c r="P18" s="130">
        <v>2706</v>
      </c>
      <c r="Q18" s="130" t="s">
        <v>623</v>
      </c>
      <c r="R18" s="130">
        <v>12409</v>
      </c>
      <c r="S18" s="130">
        <v>527</v>
      </c>
      <c r="T18" s="130">
        <v>61</v>
      </c>
      <c r="U18" s="132">
        <v>588</v>
      </c>
      <c r="V18" s="132">
        <v>4.74</v>
      </c>
      <c r="W18" s="130">
        <v>6581</v>
      </c>
      <c r="X18" s="132">
        <v>1305</v>
      </c>
      <c r="Y18" s="132">
        <v>19.829999999999998</v>
      </c>
      <c r="Z18" s="130">
        <v>544</v>
      </c>
      <c r="AA18" s="132">
        <v>157</v>
      </c>
      <c r="AB18" s="132">
        <v>28.86</v>
      </c>
      <c r="AC18" s="130">
        <v>6576</v>
      </c>
      <c r="AD18" s="95">
        <v>3577</v>
      </c>
      <c r="AE18" s="130">
        <v>4922</v>
      </c>
      <c r="AF18" s="130" t="s">
        <v>624</v>
      </c>
      <c r="AG18" s="130">
        <v>3176</v>
      </c>
      <c r="AH18" s="130" t="s">
        <v>625</v>
      </c>
      <c r="AI18" s="130">
        <v>1599</v>
      </c>
      <c r="AJ18" s="130">
        <v>1342</v>
      </c>
      <c r="AK18" s="95">
        <v>1209</v>
      </c>
      <c r="AL18" s="130">
        <v>1059</v>
      </c>
      <c r="AM18" s="130">
        <v>299</v>
      </c>
      <c r="AN18" s="130">
        <v>8.36</v>
      </c>
      <c r="AO18" s="130">
        <v>222</v>
      </c>
      <c r="AP18" s="130">
        <v>6.21</v>
      </c>
      <c r="AQ18" s="121"/>
    </row>
    <row r="19" spans="1:43" ht="28.8" x14ac:dyDescent="0.3">
      <c r="A19" s="130">
        <v>13</v>
      </c>
      <c r="B19" s="130" t="s">
        <v>288</v>
      </c>
      <c r="C19" s="130">
        <v>589</v>
      </c>
      <c r="D19" s="130">
        <v>27</v>
      </c>
      <c r="E19" s="130">
        <v>7</v>
      </c>
      <c r="F19" s="130">
        <v>0</v>
      </c>
      <c r="G19" s="132">
        <v>34</v>
      </c>
      <c r="H19" s="130">
        <v>5.77</v>
      </c>
      <c r="I19" s="130">
        <v>13</v>
      </c>
      <c r="J19" s="130" t="s">
        <v>627</v>
      </c>
      <c r="K19" s="130">
        <v>0</v>
      </c>
      <c r="L19" s="130">
        <v>0</v>
      </c>
      <c r="M19" s="130">
        <v>13897</v>
      </c>
      <c r="N19" s="130">
        <v>405</v>
      </c>
      <c r="O19" s="130">
        <v>7</v>
      </c>
      <c r="P19" s="130">
        <v>412</v>
      </c>
      <c r="Q19" s="130" t="s">
        <v>628</v>
      </c>
      <c r="R19" s="130">
        <v>13837</v>
      </c>
      <c r="S19" s="130">
        <v>120</v>
      </c>
      <c r="T19" s="130">
        <v>11</v>
      </c>
      <c r="U19" s="132">
        <v>131</v>
      </c>
      <c r="V19" s="132">
        <v>0.95</v>
      </c>
      <c r="W19" s="130">
        <v>1538</v>
      </c>
      <c r="X19" s="132">
        <v>276</v>
      </c>
      <c r="Y19" s="132">
        <v>17.95</v>
      </c>
      <c r="Z19" s="130">
        <v>740</v>
      </c>
      <c r="AA19" s="132">
        <v>199</v>
      </c>
      <c r="AB19" s="132">
        <v>26.89</v>
      </c>
      <c r="AC19" s="130">
        <v>1538</v>
      </c>
      <c r="AD19" s="95">
        <v>421</v>
      </c>
      <c r="AE19" s="130">
        <v>764</v>
      </c>
      <c r="AF19" s="130" t="s">
        <v>629</v>
      </c>
      <c r="AG19" s="130">
        <v>365</v>
      </c>
      <c r="AH19" s="130" t="s">
        <v>630</v>
      </c>
      <c r="AI19" s="130">
        <v>170</v>
      </c>
      <c r="AJ19" s="130">
        <v>140</v>
      </c>
      <c r="AK19" s="95">
        <v>95</v>
      </c>
      <c r="AL19" s="130">
        <v>80</v>
      </c>
      <c r="AM19" s="130">
        <v>1</v>
      </c>
      <c r="AN19" s="130">
        <v>0.24</v>
      </c>
      <c r="AO19" s="130">
        <v>0</v>
      </c>
      <c r="AP19" s="130">
        <v>0</v>
      </c>
      <c r="AQ19" s="121"/>
    </row>
    <row r="20" spans="1:43" ht="28.8" x14ac:dyDescent="0.3">
      <c r="A20" s="130">
        <v>14</v>
      </c>
      <c r="B20" s="130" t="s">
        <v>289</v>
      </c>
      <c r="C20" s="130">
        <v>1347</v>
      </c>
      <c r="D20" s="130">
        <v>84</v>
      </c>
      <c r="E20" s="130">
        <v>26</v>
      </c>
      <c r="F20" s="130">
        <v>0</v>
      </c>
      <c r="G20" s="132">
        <v>110</v>
      </c>
      <c r="H20" s="130">
        <v>8.17</v>
      </c>
      <c r="I20" s="130">
        <v>23</v>
      </c>
      <c r="J20" s="130" t="s">
        <v>631</v>
      </c>
      <c r="K20" s="130">
        <v>0</v>
      </c>
      <c r="L20" s="130">
        <v>0</v>
      </c>
      <c r="M20" s="130">
        <v>15675</v>
      </c>
      <c r="N20" s="130">
        <v>846</v>
      </c>
      <c r="O20" s="130">
        <v>67</v>
      </c>
      <c r="P20" s="130">
        <v>913</v>
      </c>
      <c r="Q20" s="130" t="s">
        <v>632</v>
      </c>
      <c r="R20" s="130">
        <v>15570</v>
      </c>
      <c r="S20" s="130">
        <v>47</v>
      </c>
      <c r="T20" s="130">
        <v>17</v>
      </c>
      <c r="U20" s="132">
        <v>64</v>
      </c>
      <c r="V20" s="132">
        <v>0.41</v>
      </c>
      <c r="W20" s="130">
        <v>3684</v>
      </c>
      <c r="X20" s="132">
        <v>699</v>
      </c>
      <c r="Y20" s="132">
        <v>18.97</v>
      </c>
      <c r="Z20" s="130">
        <v>514</v>
      </c>
      <c r="AA20" s="132">
        <v>85</v>
      </c>
      <c r="AB20" s="132">
        <v>16.54</v>
      </c>
      <c r="AC20" s="130">
        <v>3630</v>
      </c>
      <c r="AD20" s="95">
        <v>1175</v>
      </c>
      <c r="AE20" s="130">
        <v>1828</v>
      </c>
      <c r="AF20" s="130" t="s">
        <v>633</v>
      </c>
      <c r="AG20" s="130">
        <v>1067</v>
      </c>
      <c r="AH20" s="130" t="s">
        <v>634</v>
      </c>
      <c r="AI20" s="130">
        <v>443</v>
      </c>
      <c r="AJ20" s="130">
        <v>378</v>
      </c>
      <c r="AK20" s="95">
        <v>395</v>
      </c>
      <c r="AL20" s="130">
        <v>362</v>
      </c>
      <c r="AM20" s="130">
        <v>61</v>
      </c>
      <c r="AN20" s="130">
        <v>5.19</v>
      </c>
      <c r="AO20" s="130">
        <v>39</v>
      </c>
      <c r="AP20" s="130">
        <v>3.32</v>
      </c>
      <c r="AQ20" s="121"/>
    </row>
    <row r="21" spans="1:43" ht="28.8" x14ac:dyDescent="0.3">
      <c r="A21" s="130">
        <v>15</v>
      </c>
      <c r="B21" s="130" t="s">
        <v>290</v>
      </c>
      <c r="C21" s="130">
        <v>6389</v>
      </c>
      <c r="D21" s="130">
        <v>490</v>
      </c>
      <c r="E21" s="130">
        <v>114</v>
      </c>
      <c r="F21" s="130">
        <v>5</v>
      </c>
      <c r="G21" s="132">
        <v>609</v>
      </c>
      <c r="H21" s="130">
        <v>9.5299999999999994</v>
      </c>
      <c r="I21" s="130">
        <v>219</v>
      </c>
      <c r="J21" s="130" t="s">
        <v>635</v>
      </c>
      <c r="K21" s="130">
        <v>8</v>
      </c>
      <c r="L21" s="130" t="s">
        <v>636</v>
      </c>
      <c r="M21" s="130">
        <v>21900</v>
      </c>
      <c r="N21" s="130">
        <v>4851</v>
      </c>
      <c r="O21" s="130">
        <v>149</v>
      </c>
      <c r="P21" s="130">
        <v>5000</v>
      </c>
      <c r="Q21" s="130" t="s">
        <v>637</v>
      </c>
      <c r="R21" s="130">
        <v>21801</v>
      </c>
      <c r="S21" s="130">
        <v>2091</v>
      </c>
      <c r="T21" s="130">
        <v>307</v>
      </c>
      <c r="U21" s="132">
        <v>2398</v>
      </c>
      <c r="V21" s="132">
        <v>11</v>
      </c>
      <c r="W21" s="130">
        <v>10183</v>
      </c>
      <c r="X21" s="132">
        <v>2074</v>
      </c>
      <c r="Y21" s="132">
        <v>20.37</v>
      </c>
      <c r="Z21" s="130">
        <v>748</v>
      </c>
      <c r="AA21" s="132">
        <v>268</v>
      </c>
      <c r="AB21" s="132">
        <v>35.83</v>
      </c>
      <c r="AC21" s="130">
        <v>10188</v>
      </c>
      <c r="AD21" s="95">
        <v>3828</v>
      </c>
      <c r="AE21" s="130">
        <v>7518</v>
      </c>
      <c r="AF21" s="130" t="s">
        <v>638</v>
      </c>
      <c r="AG21" s="130">
        <v>5574</v>
      </c>
      <c r="AH21" s="130" t="s">
        <v>639</v>
      </c>
      <c r="AI21" s="130">
        <v>4063</v>
      </c>
      <c r="AJ21" s="130">
        <v>3567</v>
      </c>
      <c r="AK21" s="95">
        <v>2944</v>
      </c>
      <c r="AL21" s="130">
        <v>2636</v>
      </c>
      <c r="AM21" s="130">
        <v>1864</v>
      </c>
      <c r="AN21" s="130">
        <v>48.69</v>
      </c>
      <c r="AO21" s="130">
        <v>1759</v>
      </c>
      <c r="AP21" s="130">
        <v>45.95</v>
      </c>
      <c r="AQ21" s="121"/>
    </row>
    <row r="22" spans="1:43" ht="28.8" x14ac:dyDescent="0.3">
      <c r="A22" s="130">
        <v>16</v>
      </c>
      <c r="B22" s="130" t="s">
        <v>291</v>
      </c>
      <c r="C22" s="130">
        <v>8209</v>
      </c>
      <c r="D22" s="130">
        <v>619</v>
      </c>
      <c r="E22" s="130">
        <v>160</v>
      </c>
      <c r="F22" s="130">
        <v>1</v>
      </c>
      <c r="G22" s="132">
        <v>780</v>
      </c>
      <c r="H22" s="130">
        <v>9.5</v>
      </c>
      <c r="I22" s="130">
        <v>573</v>
      </c>
      <c r="J22" s="130" t="s">
        <v>640</v>
      </c>
      <c r="K22" s="130">
        <v>129</v>
      </c>
      <c r="L22" s="130" t="s">
        <v>641</v>
      </c>
      <c r="M22" s="130">
        <v>14338</v>
      </c>
      <c r="N22" s="130">
        <v>5844</v>
      </c>
      <c r="O22" s="130">
        <v>1085</v>
      </c>
      <c r="P22" s="130">
        <v>6929</v>
      </c>
      <c r="Q22" s="130" t="s">
        <v>642</v>
      </c>
      <c r="R22" s="130">
        <v>14265</v>
      </c>
      <c r="S22" s="130">
        <v>4046</v>
      </c>
      <c r="T22" s="130">
        <v>844</v>
      </c>
      <c r="U22" s="132">
        <v>4890</v>
      </c>
      <c r="V22" s="132">
        <v>34.28</v>
      </c>
      <c r="W22" s="130">
        <v>8887</v>
      </c>
      <c r="X22" s="132">
        <v>1626</v>
      </c>
      <c r="Y22" s="132">
        <v>18.3</v>
      </c>
      <c r="Z22" s="130">
        <v>810</v>
      </c>
      <c r="AA22" s="132">
        <v>319</v>
      </c>
      <c r="AB22" s="132">
        <v>39.380000000000003</v>
      </c>
      <c r="AC22" s="130">
        <v>8886</v>
      </c>
      <c r="AD22" s="95">
        <v>4630</v>
      </c>
      <c r="AE22" s="130">
        <v>8384</v>
      </c>
      <c r="AF22" s="130" t="s">
        <v>643</v>
      </c>
      <c r="AG22" s="130">
        <v>7276</v>
      </c>
      <c r="AH22" s="130" t="s">
        <v>644</v>
      </c>
      <c r="AI22" s="130">
        <v>6972</v>
      </c>
      <c r="AJ22" s="130">
        <v>6681</v>
      </c>
      <c r="AK22" s="95">
        <v>4712</v>
      </c>
      <c r="AL22" s="130">
        <v>4553</v>
      </c>
      <c r="AM22" s="130">
        <v>3533</v>
      </c>
      <c r="AN22" s="130">
        <v>76.31</v>
      </c>
      <c r="AO22" s="130">
        <v>3449</v>
      </c>
      <c r="AP22" s="130">
        <v>74.489999999999995</v>
      </c>
      <c r="AQ22" s="121"/>
    </row>
    <row r="23" spans="1:43" ht="28.8" x14ac:dyDescent="0.3">
      <c r="A23" s="130">
        <v>17</v>
      </c>
      <c r="B23" s="130" t="s">
        <v>292</v>
      </c>
      <c r="C23" s="130">
        <v>6973</v>
      </c>
      <c r="D23" s="130">
        <v>571</v>
      </c>
      <c r="E23" s="130">
        <v>115</v>
      </c>
      <c r="F23" s="130">
        <v>4</v>
      </c>
      <c r="G23" s="132">
        <v>690</v>
      </c>
      <c r="H23" s="130">
        <v>9.9</v>
      </c>
      <c r="I23" s="130">
        <v>493</v>
      </c>
      <c r="J23" s="130" t="s">
        <v>645</v>
      </c>
      <c r="K23" s="130">
        <v>37</v>
      </c>
      <c r="L23" s="130" t="s">
        <v>646</v>
      </c>
      <c r="M23" s="130">
        <v>10872</v>
      </c>
      <c r="N23" s="130">
        <v>5364</v>
      </c>
      <c r="O23" s="130">
        <v>328</v>
      </c>
      <c r="P23" s="130">
        <v>5692</v>
      </c>
      <c r="Q23" s="130" t="s">
        <v>647</v>
      </c>
      <c r="R23" s="130">
        <v>10812</v>
      </c>
      <c r="S23" s="130">
        <v>2095</v>
      </c>
      <c r="T23" s="130">
        <v>99</v>
      </c>
      <c r="U23" s="132">
        <v>2194</v>
      </c>
      <c r="V23" s="132">
        <v>20.29</v>
      </c>
      <c r="W23" s="130">
        <v>7321</v>
      </c>
      <c r="X23" s="132">
        <v>1477</v>
      </c>
      <c r="Y23" s="132">
        <v>20.170000000000002</v>
      </c>
      <c r="Z23" s="130">
        <v>1033</v>
      </c>
      <c r="AA23" s="132">
        <v>303</v>
      </c>
      <c r="AB23" s="132">
        <v>29.33</v>
      </c>
      <c r="AC23" s="130">
        <v>7321</v>
      </c>
      <c r="AD23" s="95">
        <v>3763</v>
      </c>
      <c r="AE23" s="130">
        <v>7091</v>
      </c>
      <c r="AF23" s="130" t="s">
        <v>648</v>
      </c>
      <c r="AG23" s="130">
        <v>6417</v>
      </c>
      <c r="AH23" s="130" t="s">
        <v>649</v>
      </c>
      <c r="AI23" s="130">
        <v>5998</v>
      </c>
      <c r="AJ23" s="130">
        <v>5672</v>
      </c>
      <c r="AK23" s="95">
        <v>3828</v>
      </c>
      <c r="AL23" s="130">
        <v>3619</v>
      </c>
      <c r="AM23" s="130">
        <v>2404</v>
      </c>
      <c r="AN23" s="130">
        <v>63.89</v>
      </c>
      <c r="AO23" s="130">
        <v>2240</v>
      </c>
      <c r="AP23" s="130">
        <v>59.53</v>
      </c>
      <c r="AQ23" s="121"/>
    </row>
    <row r="24" spans="1:43" ht="28.8" x14ac:dyDescent="0.3">
      <c r="A24" s="130">
        <v>18</v>
      </c>
      <c r="B24" s="130" t="s">
        <v>294</v>
      </c>
      <c r="C24" s="130">
        <v>7528</v>
      </c>
      <c r="D24" s="130">
        <v>862</v>
      </c>
      <c r="E24" s="130">
        <v>269</v>
      </c>
      <c r="F24" s="130">
        <v>5</v>
      </c>
      <c r="G24" s="132">
        <v>1136</v>
      </c>
      <c r="H24" s="130">
        <v>15.09</v>
      </c>
      <c r="I24" s="130">
        <v>618</v>
      </c>
      <c r="J24" s="130" t="s">
        <v>650</v>
      </c>
      <c r="K24" s="130">
        <v>58</v>
      </c>
      <c r="L24" s="130" t="s">
        <v>651</v>
      </c>
      <c r="M24" s="130">
        <v>16600</v>
      </c>
      <c r="N24" s="130">
        <v>4528</v>
      </c>
      <c r="O24" s="130">
        <v>679</v>
      </c>
      <c r="P24" s="130">
        <v>5207</v>
      </c>
      <c r="Q24" s="130" t="s">
        <v>652</v>
      </c>
      <c r="R24" s="130">
        <v>16556</v>
      </c>
      <c r="S24" s="130">
        <v>1529</v>
      </c>
      <c r="T24" s="130">
        <v>502</v>
      </c>
      <c r="U24" s="132">
        <v>2031</v>
      </c>
      <c r="V24" s="132">
        <v>12.27</v>
      </c>
      <c r="W24" s="130">
        <v>11320</v>
      </c>
      <c r="X24" s="132">
        <v>1796</v>
      </c>
      <c r="Y24" s="132">
        <v>15.87</v>
      </c>
      <c r="Z24" s="130">
        <v>1044</v>
      </c>
      <c r="AA24" s="132">
        <v>126</v>
      </c>
      <c r="AB24" s="132">
        <v>12.07</v>
      </c>
      <c r="AC24" s="130">
        <v>11324</v>
      </c>
      <c r="AD24" s="95">
        <v>5199</v>
      </c>
      <c r="AE24" s="130">
        <v>9979</v>
      </c>
      <c r="AF24" s="130" t="s">
        <v>653</v>
      </c>
      <c r="AG24" s="130">
        <v>7032</v>
      </c>
      <c r="AH24" s="130" t="s">
        <v>654</v>
      </c>
      <c r="AI24" s="130">
        <v>3962</v>
      </c>
      <c r="AJ24" s="130">
        <v>3501</v>
      </c>
      <c r="AK24" s="95">
        <v>3463</v>
      </c>
      <c r="AL24" s="130">
        <v>3050</v>
      </c>
      <c r="AM24" s="130">
        <v>879</v>
      </c>
      <c r="AN24" s="130">
        <v>16.91</v>
      </c>
      <c r="AO24" s="130">
        <v>636</v>
      </c>
      <c r="AP24" s="130">
        <v>12.23</v>
      </c>
      <c r="AQ24" s="121"/>
    </row>
    <row r="25" spans="1:43" ht="28.8" x14ac:dyDescent="0.3">
      <c r="A25" s="130">
        <v>19</v>
      </c>
      <c r="B25" s="130" t="s">
        <v>295</v>
      </c>
      <c r="C25" s="130">
        <v>4866</v>
      </c>
      <c r="D25" s="130">
        <v>228</v>
      </c>
      <c r="E25" s="130">
        <v>76</v>
      </c>
      <c r="F25" s="130">
        <v>2</v>
      </c>
      <c r="G25" s="132">
        <v>306</v>
      </c>
      <c r="H25" s="130">
        <v>6.29</v>
      </c>
      <c r="I25" s="130">
        <v>142</v>
      </c>
      <c r="J25" s="130" t="s">
        <v>655</v>
      </c>
      <c r="K25" s="130">
        <v>8</v>
      </c>
      <c r="L25" s="130" t="s">
        <v>656</v>
      </c>
      <c r="M25" s="130">
        <v>14340</v>
      </c>
      <c r="N25" s="130">
        <v>2183</v>
      </c>
      <c r="O25" s="130">
        <v>306</v>
      </c>
      <c r="P25" s="130">
        <v>2489</v>
      </c>
      <c r="Q25" s="130" t="s">
        <v>657</v>
      </c>
      <c r="R25" s="130">
        <v>14264</v>
      </c>
      <c r="S25" s="130">
        <v>138</v>
      </c>
      <c r="T25" s="130">
        <v>226</v>
      </c>
      <c r="U25" s="132">
        <v>364</v>
      </c>
      <c r="V25" s="132">
        <v>2.5499999999999998</v>
      </c>
      <c r="W25" s="130">
        <v>8199</v>
      </c>
      <c r="X25" s="132">
        <v>1736</v>
      </c>
      <c r="Y25" s="132">
        <v>21.17</v>
      </c>
      <c r="Z25" s="130">
        <v>582</v>
      </c>
      <c r="AA25" s="132">
        <v>83</v>
      </c>
      <c r="AB25" s="132">
        <v>14.26</v>
      </c>
      <c r="AC25" s="130">
        <v>8366</v>
      </c>
      <c r="AD25" s="95">
        <v>1815</v>
      </c>
      <c r="AE25" s="130">
        <v>5621</v>
      </c>
      <c r="AF25" s="130" t="s">
        <v>658</v>
      </c>
      <c r="AG25" s="130">
        <v>4386</v>
      </c>
      <c r="AH25" s="130" t="s">
        <v>659</v>
      </c>
      <c r="AI25" s="130">
        <v>3277</v>
      </c>
      <c r="AJ25" s="130">
        <v>2868</v>
      </c>
      <c r="AK25" s="95">
        <v>1866</v>
      </c>
      <c r="AL25" s="130">
        <v>1674</v>
      </c>
      <c r="AM25" s="130">
        <v>343</v>
      </c>
      <c r="AN25" s="130">
        <v>18.899999999999999</v>
      </c>
      <c r="AO25" s="130">
        <v>266</v>
      </c>
      <c r="AP25" s="130">
        <v>14.66</v>
      </c>
      <c r="AQ25" s="121"/>
    </row>
    <row r="26" spans="1:43" ht="28.8" x14ac:dyDescent="0.3">
      <c r="A26" s="130">
        <v>20</v>
      </c>
      <c r="B26" s="130" t="s">
        <v>296</v>
      </c>
      <c r="C26" s="130">
        <v>5505</v>
      </c>
      <c r="D26" s="130">
        <v>405</v>
      </c>
      <c r="E26" s="130">
        <v>101</v>
      </c>
      <c r="F26" s="130">
        <v>2</v>
      </c>
      <c r="G26" s="132">
        <v>508</v>
      </c>
      <c r="H26" s="130">
        <v>9.23</v>
      </c>
      <c r="I26" s="130">
        <v>272</v>
      </c>
      <c r="J26" s="130" t="s">
        <v>660</v>
      </c>
      <c r="K26" s="130">
        <v>11</v>
      </c>
      <c r="L26" s="130" t="s">
        <v>661</v>
      </c>
      <c r="M26" s="130">
        <v>20303</v>
      </c>
      <c r="N26" s="130">
        <v>4946</v>
      </c>
      <c r="O26" s="130">
        <v>70</v>
      </c>
      <c r="P26" s="130">
        <v>5016</v>
      </c>
      <c r="Q26" s="130" t="s">
        <v>662</v>
      </c>
      <c r="R26" s="130">
        <v>20225</v>
      </c>
      <c r="S26" s="130">
        <v>1692</v>
      </c>
      <c r="T26" s="130">
        <v>87</v>
      </c>
      <c r="U26" s="132">
        <v>1779</v>
      </c>
      <c r="V26" s="132">
        <v>8.8000000000000007</v>
      </c>
      <c r="W26" s="130">
        <v>10119</v>
      </c>
      <c r="X26" s="132">
        <v>2151</v>
      </c>
      <c r="Y26" s="132">
        <v>21.26</v>
      </c>
      <c r="Z26" s="130">
        <v>769</v>
      </c>
      <c r="AA26" s="132">
        <v>267</v>
      </c>
      <c r="AB26" s="132">
        <v>34.72</v>
      </c>
      <c r="AC26" s="130">
        <v>10118</v>
      </c>
      <c r="AD26" s="95">
        <v>3950</v>
      </c>
      <c r="AE26" s="130">
        <v>6308</v>
      </c>
      <c r="AF26" s="130" t="s">
        <v>663</v>
      </c>
      <c r="AG26" s="130">
        <v>4725</v>
      </c>
      <c r="AH26" s="130" t="s">
        <v>664</v>
      </c>
      <c r="AI26" s="130">
        <v>3037</v>
      </c>
      <c r="AJ26" s="130">
        <v>2690</v>
      </c>
      <c r="AK26" s="95">
        <v>2350</v>
      </c>
      <c r="AL26" s="130">
        <v>2175</v>
      </c>
      <c r="AM26" s="130">
        <v>1263</v>
      </c>
      <c r="AN26" s="130">
        <v>31.97</v>
      </c>
      <c r="AO26" s="130">
        <v>1131</v>
      </c>
      <c r="AP26" s="130">
        <v>28.63</v>
      </c>
      <c r="AQ26" s="121"/>
    </row>
    <row r="27" spans="1:43" ht="28.8" x14ac:dyDescent="0.3">
      <c r="A27" s="130">
        <v>21</v>
      </c>
      <c r="B27" s="130" t="s">
        <v>299</v>
      </c>
      <c r="C27" s="130">
        <v>9362</v>
      </c>
      <c r="D27" s="130">
        <v>384</v>
      </c>
      <c r="E27" s="130">
        <v>99</v>
      </c>
      <c r="F27" s="130">
        <v>1</v>
      </c>
      <c r="G27" s="132">
        <v>484</v>
      </c>
      <c r="H27" s="130">
        <v>5.17</v>
      </c>
      <c r="I27" s="130">
        <v>231</v>
      </c>
      <c r="J27" s="130" t="s">
        <v>665</v>
      </c>
      <c r="K27" s="130">
        <v>10</v>
      </c>
      <c r="L27" s="130">
        <v>10</v>
      </c>
      <c r="M27" s="130">
        <v>21162</v>
      </c>
      <c r="N27" s="130">
        <v>6956</v>
      </c>
      <c r="O27" s="130">
        <v>442</v>
      </c>
      <c r="P27" s="130">
        <v>7398</v>
      </c>
      <c r="Q27" s="130" t="s">
        <v>666</v>
      </c>
      <c r="R27" s="130">
        <v>21100</v>
      </c>
      <c r="S27" s="130">
        <v>2459</v>
      </c>
      <c r="T27" s="130">
        <v>269</v>
      </c>
      <c r="U27" s="132">
        <v>2728</v>
      </c>
      <c r="V27" s="132">
        <v>12.93</v>
      </c>
      <c r="W27" s="130">
        <v>12621</v>
      </c>
      <c r="X27" s="132">
        <v>2167</v>
      </c>
      <c r="Y27" s="132">
        <v>17.170000000000002</v>
      </c>
      <c r="Z27" s="130">
        <v>1008</v>
      </c>
      <c r="AA27" s="132">
        <v>288</v>
      </c>
      <c r="AB27" s="132">
        <v>28.57</v>
      </c>
      <c r="AC27" s="130">
        <v>12652</v>
      </c>
      <c r="AD27" s="95">
        <v>4777</v>
      </c>
      <c r="AE27" s="130">
        <v>10035</v>
      </c>
      <c r="AF27" s="130" t="s">
        <v>667</v>
      </c>
      <c r="AG27" s="130">
        <v>7513</v>
      </c>
      <c r="AH27" s="130" t="s">
        <v>668</v>
      </c>
      <c r="AI27" s="130">
        <v>5439</v>
      </c>
      <c r="AJ27" s="130">
        <v>5049</v>
      </c>
      <c r="AK27" s="95">
        <v>3525</v>
      </c>
      <c r="AL27" s="130">
        <v>3310</v>
      </c>
      <c r="AM27" s="130">
        <v>1469</v>
      </c>
      <c r="AN27" s="130">
        <v>30.75</v>
      </c>
      <c r="AO27" s="130">
        <v>1380</v>
      </c>
      <c r="AP27" s="130">
        <v>28.89</v>
      </c>
      <c r="AQ27" s="121"/>
    </row>
    <row r="28" spans="1:43" ht="28.8" x14ac:dyDescent="0.3">
      <c r="A28" s="130">
        <v>22</v>
      </c>
      <c r="B28" s="130" t="s">
        <v>301</v>
      </c>
      <c r="C28" s="130">
        <v>7594</v>
      </c>
      <c r="D28" s="130">
        <v>505</v>
      </c>
      <c r="E28" s="130">
        <v>133</v>
      </c>
      <c r="F28" s="130">
        <v>0</v>
      </c>
      <c r="G28" s="132">
        <v>638</v>
      </c>
      <c r="H28" s="130">
        <v>8.4</v>
      </c>
      <c r="I28" s="130">
        <v>401</v>
      </c>
      <c r="J28" s="130" t="s">
        <v>669</v>
      </c>
      <c r="K28" s="130">
        <v>30</v>
      </c>
      <c r="L28" s="130" t="s">
        <v>670</v>
      </c>
      <c r="M28" s="130">
        <v>17659</v>
      </c>
      <c r="N28" s="130">
        <v>2111</v>
      </c>
      <c r="O28" s="130">
        <v>3160</v>
      </c>
      <c r="P28" s="130">
        <v>5271</v>
      </c>
      <c r="Q28" s="130" t="s">
        <v>671</v>
      </c>
      <c r="R28" s="130">
        <v>17565</v>
      </c>
      <c r="S28" s="130">
        <v>718</v>
      </c>
      <c r="T28" s="130">
        <v>2278</v>
      </c>
      <c r="U28" s="132">
        <v>2996</v>
      </c>
      <c r="V28" s="132">
        <v>17.059999999999999</v>
      </c>
      <c r="W28" s="130">
        <v>8431</v>
      </c>
      <c r="X28" s="132">
        <v>1718</v>
      </c>
      <c r="Y28" s="132">
        <v>20.38</v>
      </c>
      <c r="Z28" s="130">
        <v>486</v>
      </c>
      <c r="AA28" s="132">
        <v>132</v>
      </c>
      <c r="AB28" s="132">
        <v>27.16</v>
      </c>
      <c r="AC28" s="130">
        <v>8433</v>
      </c>
      <c r="AD28" s="95">
        <v>4323</v>
      </c>
      <c r="AE28" s="130">
        <v>8038</v>
      </c>
      <c r="AF28" s="130" t="s">
        <v>672</v>
      </c>
      <c r="AG28" s="130">
        <v>7187</v>
      </c>
      <c r="AH28" s="130" t="s">
        <v>673</v>
      </c>
      <c r="AI28" s="130">
        <v>6055</v>
      </c>
      <c r="AJ28" s="130">
        <v>5763</v>
      </c>
      <c r="AK28" s="95">
        <v>4220</v>
      </c>
      <c r="AL28" s="130">
        <v>4088</v>
      </c>
      <c r="AM28" s="130">
        <v>2368</v>
      </c>
      <c r="AN28" s="130">
        <v>54.78</v>
      </c>
      <c r="AO28" s="130">
        <v>2254</v>
      </c>
      <c r="AP28" s="130">
        <v>52.14</v>
      </c>
      <c r="AQ28" s="121"/>
    </row>
    <row r="29" spans="1:43" ht="28.8" x14ac:dyDescent="0.3">
      <c r="A29" s="130">
        <v>23</v>
      </c>
      <c r="B29" s="130" t="s">
        <v>302</v>
      </c>
      <c r="C29" s="130">
        <v>3155</v>
      </c>
      <c r="D29" s="130">
        <v>301</v>
      </c>
      <c r="E29" s="130">
        <v>97</v>
      </c>
      <c r="F29" s="130">
        <v>0</v>
      </c>
      <c r="G29" s="132">
        <v>398</v>
      </c>
      <c r="H29" s="130">
        <v>12.61</v>
      </c>
      <c r="I29" s="130">
        <v>171</v>
      </c>
      <c r="J29" s="130" t="s">
        <v>674</v>
      </c>
      <c r="K29" s="130">
        <v>12</v>
      </c>
      <c r="L29" s="130" t="s">
        <v>675</v>
      </c>
      <c r="M29" s="130">
        <v>12721</v>
      </c>
      <c r="N29" s="130">
        <v>1053</v>
      </c>
      <c r="O29" s="130">
        <v>294</v>
      </c>
      <c r="P29" s="130">
        <v>1347</v>
      </c>
      <c r="Q29" s="130" t="s">
        <v>676</v>
      </c>
      <c r="R29" s="130">
        <v>12658</v>
      </c>
      <c r="S29" s="130">
        <v>306</v>
      </c>
      <c r="T29" s="130">
        <v>395</v>
      </c>
      <c r="U29" s="132">
        <v>701</v>
      </c>
      <c r="V29" s="132">
        <v>5.54</v>
      </c>
      <c r="W29" s="130">
        <v>4967</v>
      </c>
      <c r="X29" s="132">
        <v>1087</v>
      </c>
      <c r="Y29" s="132">
        <v>21.88</v>
      </c>
      <c r="Z29" s="130">
        <v>363</v>
      </c>
      <c r="AA29" s="132">
        <v>21</v>
      </c>
      <c r="AB29" s="132">
        <v>5.79</v>
      </c>
      <c r="AC29" s="130">
        <v>4970</v>
      </c>
      <c r="AD29" s="95">
        <v>1725</v>
      </c>
      <c r="AE29" s="130">
        <v>3709</v>
      </c>
      <c r="AF29" s="130" t="s">
        <v>677</v>
      </c>
      <c r="AG29" s="130">
        <v>2301</v>
      </c>
      <c r="AH29" s="130" t="s">
        <v>678</v>
      </c>
      <c r="AI29" s="130">
        <v>1788</v>
      </c>
      <c r="AJ29" s="130">
        <v>1687</v>
      </c>
      <c r="AK29" s="95">
        <v>1140</v>
      </c>
      <c r="AL29" s="130">
        <v>1047</v>
      </c>
      <c r="AM29" s="130">
        <v>367</v>
      </c>
      <c r="AN29" s="130">
        <v>21.28</v>
      </c>
      <c r="AO29" s="130">
        <v>310</v>
      </c>
      <c r="AP29" s="130">
        <v>17.97</v>
      </c>
      <c r="AQ29" s="121"/>
    </row>
    <row r="30" spans="1:43" ht="28.8" x14ac:dyDescent="0.3">
      <c r="A30" s="130">
        <v>24</v>
      </c>
      <c r="B30" s="130" t="s">
        <v>303</v>
      </c>
      <c r="C30" s="130">
        <v>8158</v>
      </c>
      <c r="D30" s="130">
        <v>1009</v>
      </c>
      <c r="E30" s="130">
        <v>225</v>
      </c>
      <c r="F30" s="130">
        <v>0</v>
      </c>
      <c r="G30" s="132">
        <v>1234</v>
      </c>
      <c r="H30" s="130">
        <v>15.13</v>
      </c>
      <c r="I30" s="130">
        <v>708</v>
      </c>
      <c r="J30" s="130" t="s">
        <v>680</v>
      </c>
      <c r="K30" s="130">
        <v>37</v>
      </c>
      <c r="L30" s="130" t="s">
        <v>681</v>
      </c>
      <c r="M30" s="130">
        <v>17479</v>
      </c>
      <c r="N30" s="130">
        <v>6413</v>
      </c>
      <c r="O30" s="130">
        <v>188</v>
      </c>
      <c r="P30" s="130">
        <v>6601</v>
      </c>
      <c r="Q30" s="130" t="s">
        <v>682</v>
      </c>
      <c r="R30" s="130">
        <v>17320</v>
      </c>
      <c r="S30" s="130">
        <v>3570</v>
      </c>
      <c r="T30" s="130">
        <v>191</v>
      </c>
      <c r="U30" s="132">
        <v>3761</v>
      </c>
      <c r="V30" s="132">
        <v>21.71</v>
      </c>
      <c r="W30" s="130">
        <v>10322</v>
      </c>
      <c r="X30" s="132">
        <v>1919</v>
      </c>
      <c r="Y30" s="132">
        <v>18.59</v>
      </c>
      <c r="Z30" s="130">
        <v>565</v>
      </c>
      <c r="AA30" s="132">
        <v>97</v>
      </c>
      <c r="AB30" s="132">
        <v>17.170000000000002</v>
      </c>
      <c r="AC30" s="130">
        <v>10272</v>
      </c>
      <c r="AD30" s="95">
        <v>5436</v>
      </c>
      <c r="AE30" s="130">
        <v>8618</v>
      </c>
      <c r="AF30" s="130" t="s">
        <v>683</v>
      </c>
      <c r="AG30" s="130">
        <v>7003</v>
      </c>
      <c r="AH30" s="130" t="s">
        <v>684</v>
      </c>
      <c r="AI30" s="130">
        <v>6404</v>
      </c>
      <c r="AJ30" s="130">
        <v>6038</v>
      </c>
      <c r="AK30" s="95">
        <v>4327</v>
      </c>
      <c r="AL30" s="130">
        <v>3988</v>
      </c>
      <c r="AM30" s="130">
        <v>2546</v>
      </c>
      <c r="AN30" s="130">
        <v>46.84</v>
      </c>
      <c r="AO30" s="130">
        <v>2247</v>
      </c>
      <c r="AP30" s="130">
        <v>41.34</v>
      </c>
      <c r="AQ30" s="121"/>
    </row>
    <row r="31" spans="1:43" ht="28.8" x14ac:dyDescent="0.3">
      <c r="A31" s="130">
        <v>25</v>
      </c>
      <c r="B31" s="130" t="s">
        <v>304</v>
      </c>
      <c r="C31" s="130">
        <v>7882</v>
      </c>
      <c r="D31" s="130">
        <v>364</v>
      </c>
      <c r="E31" s="130">
        <v>142</v>
      </c>
      <c r="F31" s="130">
        <v>2</v>
      </c>
      <c r="G31" s="132">
        <v>508</v>
      </c>
      <c r="H31" s="130">
        <v>6.45</v>
      </c>
      <c r="I31" s="130">
        <v>340</v>
      </c>
      <c r="J31" s="130" t="s">
        <v>685</v>
      </c>
      <c r="K31" s="130">
        <v>138</v>
      </c>
      <c r="L31" s="130" t="s">
        <v>686</v>
      </c>
      <c r="M31" s="130">
        <v>14535</v>
      </c>
      <c r="N31" s="130">
        <v>6909</v>
      </c>
      <c r="O31" s="130">
        <v>103</v>
      </c>
      <c r="P31" s="130">
        <v>7012</v>
      </c>
      <c r="Q31" s="130" t="s">
        <v>687</v>
      </c>
      <c r="R31" s="130">
        <v>14463</v>
      </c>
      <c r="S31" s="130">
        <v>5054</v>
      </c>
      <c r="T31" s="130">
        <v>58</v>
      </c>
      <c r="U31" s="132">
        <v>5112</v>
      </c>
      <c r="V31" s="132">
        <v>35.35</v>
      </c>
      <c r="W31" s="130">
        <v>9059</v>
      </c>
      <c r="X31" s="132">
        <v>1833</v>
      </c>
      <c r="Y31" s="132">
        <v>20.23</v>
      </c>
      <c r="Z31" s="130">
        <v>1228</v>
      </c>
      <c r="AA31" s="132">
        <v>499</v>
      </c>
      <c r="AB31" s="132">
        <v>40.64</v>
      </c>
      <c r="AC31" s="130">
        <v>9065</v>
      </c>
      <c r="AD31" s="95">
        <v>4787</v>
      </c>
      <c r="AE31" s="130">
        <v>8224</v>
      </c>
      <c r="AF31" s="130" t="s">
        <v>688</v>
      </c>
      <c r="AG31" s="130">
        <v>6592</v>
      </c>
      <c r="AH31" s="130" t="s">
        <v>689</v>
      </c>
      <c r="AI31" s="130">
        <v>6369</v>
      </c>
      <c r="AJ31" s="130">
        <v>6101</v>
      </c>
      <c r="AK31" s="95">
        <v>4144</v>
      </c>
      <c r="AL31" s="130">
        <v>3978</v>
      </c>
      <c r="AM31" s="130">
        <v>2788</v>
      </c>
      <c r="AN31" s="130">
        <v>58.24</v>
      </c>
      <c r="AO31" s="130">
        <v>2472</v>
      </c>
      <c r="AP31" s="130">
        <v>51.64</v>
      </c>
      <c r="AQ31" s="121"/>
    </row>
    <row r="32" spans="1:43" ht="28.8" x14ac:dyDescent="0.3">
      <c r="A32" s="130">
        <v>26</v>
      </c>
      <c r="B32" s="130" t="s">
        <v>305</v>
      </c>
      <c r="C32" s="130">
        <v>8458</v>
      </c>
      <c r="D32" s="130">
        <v>396</v>
      </c>
      <c r="E32" s="130">
        <v>191</v>
      </c>
      <c r="F32" s="130">
        <v>7</v>
      </c>
      <c r="G32" s="132">
        <v>594</v>
      </c>
      <c r="H32" s="130">
        <v>7.02</v>
      </c>
      <c r="I32" s="130">
        <v>269</v>
      </c>
      <c r="J32" s="130" t="s">
        <v>690</v>
      </c>
      <c r="K32" s="130">
        <v>27</v>
      </c>
      <c r="L32" s="130" t="s">
        <v>691</v>
      </c>
      <c r="M32" s="130">
        <v>15689</v>
      </c>
      <c r="N32" s="130">
        <v>6935</v>
      </c>
      <c r="O32" s="130">
        <v>185</v>
      </c>
      <c r="P32" s="130">
        <v>7120</v>
      </c>
      <c r="Q32" s="130" t="s">
        <v>692</v>
      </c>
      <c r="R32" s="130">
        <v>15589</v>
      </c>
      <c r="S32" s="130">
        <v>2601</v>
      </c>
      <c r="T32" s="130">
        <v>49</v>
      </c>
      <c r="U32" s="132">
        <v>2650</v>
      </c>
      <c r="V32" s="132">
        <v>17</v>
      </c>
      <c r="W32" s="130">
        <v>10686</v>
      </c>
      <c r="X32" s="132">
        <v>2130</v>
      </c>
      <c r="Y32" s="132">
        <v>19.93</v>
      </c>
      <c r="Z32" s="130">
        <v>543</v>
      </c>
      <c r="AA32" s="132">
        <v>135</v>
      </c>
      <c r="AB32" s="132">
        <v>24.86</v>
      </c>
      <c r="AC32" s="130">
        <v>10688</v>
      </c>
      <c r="AD32" s="95">
        <v>5445</v>
      </c>
      <c r="AE32" s="130">
        <v>9172</v>
      </c>
      <c r="AF32" s="130" t="s">
        <v>693</v>
      </c>
      <c r="AG32" s="130">
        <v>7394</v>
      </c>
      <c r="AH32" s="130" t="s">
        <v>694</v>
      </c>
      <c r="AI32" s="130">
        <v>6597</v>
      </c>
      <c r="AJ32" s="130">
        <v>6337</v>
      </c>
      <c r="AK32" s="95">
        <v>4251</v>
      </c>
      <c r="AL32" s="130">
        <v>4103</v>
      </c>
      <c r="AM32" s="130">
        <v>2404</v>
      </c>
      <c r="AN32" s="130">
        <v>44.15</v>
      </c>
      <c r="AO32" s="130">
        <v>2097</v>
      </c>
      <c r="AP32" s="130">
        <v>38.51</v>
      </c>
      <c r="AQ32" s="121"/>
    </row>
    <row r="33" spans="1:43" ht="28.8" x14ac:dyDescent="0.3">
      <c r="A33" s="130">
        <v>27</v>
      </c>
      <c r="B33" s="130" t="s">
        <v>306</v>
      </c>
      <c r="C33" s="130">
        <v>7009</v>
      </c>
      <c r="D33" s="130">
        <v>434</v>
      </c>
      <c r="E33" s="130">
        <v>120</v>
      </c>
      <c r="F33" s="130">
        <v>2</v>
      </c>
      <c r="G33" s="132">
        <v>556</v>
      </c>
      <c r="H33" s="130">
        <v>7.93</v>
      </c>
      <c r="I33" s="130">
        <v>258</v>
      </c>
      <c r="J33" s="130" t="s">
        <v>695</v>
      </c>
      <c r="K33" s="130">
        <v>16</v>
      </c>
      <c r="L33" s="130" t="s">
        <v>696</v>
      </c>
      <c r="M33" s="130">
        <v>28884</v>
      </c>
      <c r="N33" s="130">
        <v>5768</v>
      </c>
      <c r="O33" s="130">
        <v>233</v>
      </c>
      <c r="P33" s="130">
        <v>6001</v>
      </c>
      <c r="Q33" s="130" t="s">
        <v>697</v>
      </c>
      <c r="R33" s="130">
        <v>28700</v>
      </c>
      <c r="S33" s="130">
        <v>1143</v>
      </c>
      <c r="T33" s="130">
        <v>157</v>
      </c>
      <c r="U33" s="132">
        <v>1300</v>
      </c>
      <c r="V33" s="132">
        <v>4.53</v>
      </c>
      <c r="W33" s="130">
        <v>9063</v>
      </c>
      <c r="X33" s="132">
        <v>1948</v>
      </c>
      <c r="Y33" s="132">
        <v>21.49</v>
      </c>
      <c r="Z33" s="130">
        <v>1975</v>
      </c>
      <c r="AA33" s="132">
        <v>384</v>
      </c>
      <c r="AB33" s="132">
        <v>19.440000000000001</v>
      </c>
      <c r="AC33" s="130">
        <v>9092</v>
      </c>
      <c r="AD33" s="95">
        <v>3867</v>
      </c>
      <c r="AE33" s="130">
        <v>7861</v>
      </c>
      <c r="AF33" s="130" t="s">
        <v>698</v>
      </c>
      <c r="AG33" s="130">
        <v>6398</v>
      </c>
      <c r="AH33" s="130" t="s">
        <v>699</v>
      </c>
      <c r="AI33" s="130">
        <v>5074</v>
      </c>
      <c r="AJ33" s="130">
        <v>4735</v>
      </c>
      <c r="AK33" s="95">
        <v>3168</v>
      </c>
      <c r="AL33" s="130">
        <v>2975</v>
      </c>
      <c r="AM33" s="130">
        <v>1627</v>
      </c>
      <c r="AN33" s="130">
        <v>42.07</v>
      </c>
      <c r="AO33" s="130">
        <v>1338</v>
      </c>
      <c r="AP33" s="130">
        <v>34.6</v>
      </c>
      <c r="AQ33" s="121"/>
    </row>
    <row r="34" spans="1:43" ht="28.8" x14ac:dyDescent="0.3">
      <c r="A34" s="130">
        <v>28</v>
      </c>
      <c r="B34" s="130" t="s">
        <v>308</v>
      </c>
      <c r="C34" s="130">
        <v>10197</v>
      </c>
      <c r="D34" s="130">
        <v>1102</v>
      </c>
      <c r="E34" s="130">
        <v>419</v>
      </c>
      <c r="F34" s="130">
        <v>10</v>
      </c>
      <c r="G34" s="132">
        <v>1531</v>
      </c>
      <c r="H34" s="130">
        <v>15.01</v>
      </c>
      <c r="I34" s="130">
        <v>562</v>
      </c>
      <c r="J34" s="130">
        <v>51</v>
      </c>
      <c r="K34" s="130">
        <v>71</v>
      </c>
      <c r="L34" s="130" t="s">
        <v>700</v>
      </c>
      <c r="M34" s="130">
        <v>29936</v>
      </c>
      <c r="N34" s="130">
        <v>6688</v>
      </c>
      <c r="O34" s="130">
        <v>831</v>
      </c>
      <c r="P34" s="130">
        <v>7519</v>
      </c>
      <c r="Q34" s="130" t="s">
        <v>701</v>
      </c>
      <c r="R34" s="130">
        <v>29783</v>
      </c>
      <c r="S34" s="130">
        <v>1271</v>
      </c>
      <c r="T34" s="130">
        <v>510</v>
      </c>
      <c r="U34" s="132">
        <v>1781</v>
      </c>
      <c r="V34" s="132">
        <v>5.98</v>
      </c>
      <c r="W34" s="130">
        <v>12863</v>
      </c>
      <c r="X34" s="132">
        <v>2521</v>
      </c>
      <c r="Y34" s="132">
        <v>19.600000000000001</v>
      </c>
      <c r="Z34" s="130">
        <v>2282</v>
      </c>
      <c r="AA34" s="132">
        <v>340</v>
      </c>
      <c r="AB34" s="132">
        <v>14.9</v>
      </c>
      <c r="AC34" s="130">
        <v>12867</v>
      </c>
      <c r="AD34" s="95">
        <v>6223</v>
      </c>
      <c r="AE34" s="130">
        <v>11682</v>
      </c>
      <c r="AF34" s="130" t="s">
        <v>702</v>
      </c>
      <c r="AG34" s="130">
        <v>8695</v>
      </c>
      <c r="AH34" s="130" t="s">
        <v>703</v>
      </c>
      <c r="AI34" s="130">
        <v>6309</v>
      </c>
      <c r="AJ34" s="130">
        <v>5475</v>
      </c>
      <c r="AK34" s="95">
        <v>4777</v>
      </c>
      <c r="AL34" s="130">
        <v>4414</v>
      </c>
      <c r="AM34" s="130">
        <v>1903</v>
      </c>
      <c r="AN34" s="130">
        <v>30.58</v>
      </c>
      <c r="AO34" s="130">
        <v>1484</v>
      </c>
      <c r="AP34" s="130">
        <v>23.85</v>
      </c>
      <c r="AQ34" s="121"/>
    </row>
    <row r="35" spans="1:43" ht="28.8" x14ac:dyDescent="0.3">
      <c r="A35" s="130">
        <v>29</v>
      </c>
      <c r="B35" s="130" t="s">
        <v>309</v>
      </c>
      <c r="C35" s="130">
        <v>7763</v>
      </c>
      <c r="D35" s="130">
        <v>774</v>
      </c>
      <c r="E35" s="130">
        <v>205</v>
      </c>
      <c r="F35" s="130">
        <v>4</v>
      </c>
      <c r="G35" s="132">
        <v>983</v>
      </c>
      <c r="H35" s="130">
        <v>12.66</v>
      </c>
      <c r="I35" s="130">
        <v>387</v>
      </c>
      <c r="J35" s="130">
        <v>50</v>
      </c>
      <c r="K35" s="130">
        <v>8</v>
      </c>
      <c r="L35" s="130" t="s">
        <v>704</v>
      </c>
      <c r="M35" s="130">
        <v>35770</v>
      </c>
      <c r="N35" s="130">
        <v>4431</v>
      </c>
      <c r="O35" s="130">
        <v>610</v>
      </c>
      <c r="P35" s="130">
        <v>5041</v>
      </c>
      <c r="Q35" s="130" t="s">
        <v>705</v>
      </c>
      <c r="R35" s="130">
        <v>35570</v>
      </c>
      <c r="S35" s="130">
        <v>1515</v>
      </c>
      <c r="T35" s="130">
        <v>336</v>
      </c>
      <c r="U35" s="132">
        <v>1851</v>
      </c>
      <c r="V35" s="132">
        <v>5.2</v>
      </c>
      <c r="W35" s="130">
        <v>11782</v>
      </c>
      <c r="X35" s="132">
        <v>2502</v>
      </c>
      <c r="Y35" s="132">
        <v>21.24</v>
      </c>
      <c r="Z35" s="130">
        <v>2311</v>
      </c>
      <c r="AA35" s="132">
        <v>626</v>
      </c>
      <c r="AB35" s="132">
        <v>27.09</v>
      </c>
      <c r="AC35" s="130">
        <v>11747</v>
      </c>
      <c r="AD35" s="95">
        <v>4490</v>
      </c>
      <c r="AE35" s="130">
        <v>9125</v>
      </c>
      <c r="AF35" s="130" t="s">
        <v>706</v>
      </c>
      <c r="AG35" s="130">
        <v>6088</v>
      </c>
      <c r="AH35" s="130" t="s">
        <v>707</v>
      </c>
      <c r="AI35" s="130">
        <v>3483</v>
      </c>
      <c r="AJ35" s="130">
        <v>2959</v>
      </c>
      <c r="AK35" s="95">
        <v>2677</v>
      </c>
      <c r="AL35" s="130">
        <v>2480</v>
      </c>
      <c r="AM35" s="130">
        <v>1202</v>
      </c>
      <c r="AN35" s="130">
        <v>26.77</v>
      </c>
      <c r="AO35" s="130">
        <v>1045</v>
      </c>
      <c r="AP35" s="130">
        <v>23.27</v>
      </c>
      <c r="AQ35" s="121"/>
    </row>
    <row r="36" spans="1:43" ht="28.8" x14ac:dyDescent="0.3">
      <c r="A36" s="130">
        <v>30</v>
      </c>
      <c r="B36" s="130" t="s">
        <v>4</v>
      </c>
      <c r="C36" s="130">
        <v>858</v>
      </c>
      <c r="D36" s="130">
        <v>67</v>
      </c>
      <c r="E36" s="130">
        <v>26</v>
      </c>
      <c r="F36" s="130">
        <v>0</v>
      </c>
      <c r="G36" s="132">
        <v>93</v>
      </c>
      <c r="H36" s="130">
        <v>10.84</v>
      </c>
      <c r="I36" s="130">
        <v>57</v>
      </c>
      <c r="J36" s="130" t="s">
        <v>708</v>
      </c>
      <c r="K36" s="130">
        <v>24</v>
      </c>
      <c r="L36" s="130" t="s">
        <v>709</v>
      </c>
      <c r="M36" s="130">
        <v>1519</v>
      </c>
      <c r="N36" s="130">
        <v>836</v>
      </c>
      <c r="O36" s="130">
        <v>2</v>
      </c>
      <c r="P36" s="130">
        <v>838</v>
      </c>
      <c r="Q36" s="130" t="s">
        <v>710</v>
      </c>
      <c r="R36" s="130">
        <v>1513</v>
      </c>
      <c r="S36" s="130">
        <v>543</v>
      </c>
      <c r="T36" s="130">
        <v>0</v>
      </c>
      <c r="U36" s="132">
        <v>543</v>
      </c>
      <c r="V36" s="132">
        <v>35.89</v>
      </c>
      <c r="W36" s="130">
        <v>913</v>
      </c>
      <c r="X36" s="132">
        <v>162</v>
      </c>
      <c r="Y36" s="132">
        <v>17.739999999999998</v>
      </c>
      <c r="Z36" s="130">
        <v>100</v>
      </c>
      <c r="AA36" s="132">
        <v>19</v>
      </c>
      <c r="AB36" s="132">
        <v>19</v>
      </c>
      <c r="AC36" s="130">
        <v>912</v>
      </c>
      <c r="AD36" s="95">
        <v>525</v>
      </c>
      <c r="AE36" s="130">
        <v>857</v>
      </c>
      <c r="AF36" s="130" t="s">
        <v>711</v>
      </c>
      <c r="AG36" s="130">
        <v>796</v>
      </c>
      <c r="AH36" s="130" t="s">
        <v>712</v>
      </c>
      <c r="AI36" s="130">
        <v>844</v>
      </c>
      <c r="AJ36" s="130">
        <v>821</v>
      </c>
      <c r="AK36" s="95">
        <v>575</v>
      </c>
      <c r="AL36" s="130">
        <v>568</v>
      </c>
      <c r="AM36" s="130">
        <v>512</v>
      </c>
      <c r="AN36" s="130">
        <v>97.52</v>
      </c>
      <c r="AO36" s="130">
        <v>512</v>
      </c>
      <c r="AP36" s="130">
        <v>97.52</v>
      </c>
      <c r="AQ36" s="121"/>
    </row>
    <row r="37" spans="1:43" ht="28.8" x14ac:dyDescent="0.3">
      <c r="A37" s="130">
        <v>31</v>
      </c>
      <c r="B37" s="130" t="s">
        <v>5</v>
      </c>
      <c r="C37" s="130">
        <v>497</v>
      </c>
      <c r="D37" s="130">
        <v>72</v>
      </c>
      <c r="E37" s="130">
        <v>35</v>
      </c>
      <c r="F37" s="130">
        <v>1</v>
      </c>
      <c r="G37" s="132">
        <v>108</v>
      </c>
      <c r="H37" s="130">
        <v>21.73</v>
      </c>
      <c r="I37" s="130">
        <v>43</v>
      </c>
      <c r="J37" s="130" t="s">
        <v>714</v>
      </c>
      <c r="K37" s="130">
        <v>1</v>
      </c>
      <c r="L37" s="130" t="s">
        <v>715</v>
      </c>
      <c r="M37" s="130">
        <v>7700</v>
      </c>
      <c r="N37" s="130">
        <v>359</v>
      </c>
      <c r="O37" s="130">
        <v>25</v>
      </c>
      <c r="P37" s="130">
        <v>384</v>
      </c>
      <c r="Q37" s="130" t="s">
        <v>716</v>
      </c>
      <c r="R37" s="130">
        <v>7655</v>
      </c>
      <c r="S37" s="130">
        <v>66</v>
      </c>
      <c r="T37" s="130">
        <v>17</v>
      </c>
      <c r="U37" s="132">
        <v>83</v>
      </c>
      <c r="V37" s="132">
        <v>1.08</v>
      </c>
      <c r="W37" s="130">
        <v>980</v>
      </c>
      <c r="X37" s="132">
        <v>96</v>
      </c>
      <c r="Y37" s="132">
        <v>9.8000000000000007</v>
      </c>
      <c r="Z37" s="130">
        <v>318</v>
      </c>
      <c r="AA37" s="132">
        <v>291</v>
      </c>
      <c r="AB37" s="132">
        <v>91.51</v>
      </c>
      <c r="AC37" s="130">
        <v>980</v>
      </c>
      <c r="AD37" s="95">
        <v>206</v>
      </c>
      <c r="AE37" s="130">
        <v>818</v>
      </c>
      <c r="AF37" s="130" t="s">
        <v>717</v>
      </c>
      <c r="AG37" s="130">
        <v>424</v>
      </c>
      <c r="AH37" s="130" t="s">
        <v>718</v>
      </c>
      <c r="AI37" s="130">
        <v>274</v>
      </c>
      <c r="AJ37" s="130">
        <v>257</v>
      </c>
      <c r="AK37" s="95">
        <v>286</v>
      </c>
      <c r="AL37" s="130">
        <v>271</v>
      </c>
      <c r="AM37" s="130">
        <v>27</v>
      </c>
      <c r="AN37" s="130">
        <v>13.11</v>
      </c>
      <c r="AO37" s="130">
        <v>24</v>
      </c>
      <c r="AP37" s="130">
        <v>11.65</v>
      </c>
      <c r="AQ37" s="121"/>
    </row>
    <row r="38" spans="1:43" ht="28.8" x14ac:dyDescent="0.3">
      <c r="A38" s="130">
        <v>32</v>
      </c>
      <c r="B38" s="130" t="s">
        <v>6</v>
      </c>
      <c r="C38" s="130">
        <v>832</v>
      </c>
      <c r="D38" s="130">
        <v>58</v>
      </c>
      <c r="E38" s="130">
        <v>12</v>
      </c>
      <c r="F38" s="130">
        <v>0</v>
      </c>
      <c r="G38" s="132">
        <v>70</v>
      </c>
      <c r="H38" s="130">
        <v>8.41</v>
      </c>
      <c r="I38" s="130">
        <v>32</v>
      </c>
      <c r="J38" s="130" t="s">
        <v>710</v>
      </c>
      <c r="K38" s="130">
        <v>1</v>
      </c>
      <c r="L38" s="130" t="s">
        <v>719</v>
      </c>
      <c r="M38" s="130">
        <v>3412</v>
      </c>
      <c r="N38" s="130">
        <v>265</v>
      </c>
      <c r="O38" s="130">
        <v>83</v>
      </c>
      <c r="P38" s="130">
        <v>348</v>
      </c>
      <c r="Q38" s="130" t="s">
        <v>293</v>
      </c>
      <c r="R38" s="130">
        <v>3375</v>
      </c>
      <c r="S38" s="130">
        <v>207</v>
      </c>
      <c r="T38" s="130">
        <v>73</v>
      </c>
      <c r="U38" s="132">
        <v>280</v>
      </c>
      <c r="V38" s="132">
        <v>8.3000000000000007</v>
      </c>
      <c r="W38" s="130">
        <v>1184</v>
      </c>
      <c r="X38" s="132">
        <v>244</v>
      </c>
      <c r="Y38" s="132">
        <v>20.61</v>
      </c>
      <c r="Z38" s="130">
        <v>0</v>
      </c>
      <c r="AA38" s="132">
        <v>0</v>
      </c>
      <c r="AB38" s="132">
        <v>0</v>
      </c>
      <c r="AC38" s="130">
        <v>1185</v>
      </c>
      <c r="AD38" s="95">
        <v>358</v>
      </c>
      <c r="AE38" s="130">
        <v>926</v>
      </c>
      <c r="AF38" s="130" t="s">
        <v>720</v>
      </c>
      <c r="AG38" s="130">
        <v>704</v>
      </c>
      <c r="AH38" s="130" t="s">
        <v>721</v>
      </c>
      <c r="AI38" s="130">
        <v>552</v>
      </c>
      <c r="AJ38" s="130">
        <v>381</v>
      </c>
      <c r="AK38" s="95">
        <v>247</v>
      </c>
      <c r="AL38" s="130">
        <v>193</v>
      </c>
      <c r="AM38" s="130">
        <v>93</v>
      </c>
      <c r="AN38" s="130">
        <v>25.98</v>
      </c>
      <c r="AO38" s="130">
        <v>78</v>
      </c>
      <c r="AP38" s="130">
        <v>21.79</v>
      </c>
      <c r="AQ38" s="121"/>
    </row>
    <row r="39" spans="1:43" ht="28.8" x14ac:dyDescent="0.3">
      <c r="A39" s="130">
        <v>33</v>
      </c>
      <c r="B39" s="130" t="s">
        <v>7</v>
      </c>
      <c r="C39" s="130">
        <v>6366</v>
      </c>
      <c r="D39" s="130">
        <v>140</v>
      </c>
      <c r="E39" s="130">
        <v>48</v>
      </c>
      <c r="F39" s="130">
        <v>0</v>
      </c>
      <c r="G39" s="132">
        <v>188</v>
      </c>
      <c r="H39" s="130">
        <v>2.95</v>
      </c>
      <c r="I39" s="130">
        <v>105</v>
      </c>
      <c r="J39" s="130">
        <v>75</v>
      </c>
      <c r="K39" s="130">
        <v>6</v>
      </c>
      <c r="L39" s="130" t="s">
        <v>722</v>
      </c>
      <c r="M39" s="130">
        <v>25179</v>
      </c>
      <c r="N39" s="130">
        <v>2870</v>
      </c>
      <c r="O39" s="130">
        <v>835</v>
      </c>
      <c r="P39" s="130">
        <v>3705</v>
      </c>
      <c r="Q39" s="130" t="s">
        <v>723</v>
      </c>
      <c r="R39" s="130">
        <v>25033</v>
      </c>
      <c r="S39" s="130">
        <v>777</v>
      </c>
      <c r="T39" s="130">
        <v>731</v>
      </c>
      <c r="U39" s="132">
        <v>1508</v>
      </c>
      <c r="V39" s="132">
        <v>6.02</v>
      </c>
      <c r="W39" s="130">
        <v>9096</v>
      </c>
      <c r="X39" s="132">
        <v>1199</v>
      </c>
      <c r="Y39" s="132">
        <v>13.18</v>
      </c>
      <c r="Z39" s="130">
        <v>933</v>
      </c>
      <c r="AA39" s="132">
        <v>72</v>
      </c>
      <c r="AB39" s="132">
        <v>7.72</v>
      </c>
      <c r="AC39" s="130">
        <v>9110</v>
      </c>
      <c r="AD39" s="95">
        <v>1870</v>
      </c>
      <c r="AE39" s="130">
        <v>7411</v>
      </c>
      <c r="AF39" s="130" t="s">
        <v>724</v>
      </c>
      <c r="AG39" s="130">
        <v>4498</v>
      </c>
      <c r="AH39" s="130" t="s">
        <v>725</v>
      </c>
      <c r="AI39" s="130">
        <v>2460</v>
      </c>
      <c r="AJ39" s="130">
        <v>2199</v>
      </c>
      <c r="AK39" s="95">
        <v>963</v>
      </c>
      <c r="AL39" s="130">
        <v>906</v>
      </c>
      <c r="AM39" s="130">
        <v>268</v>
      </c>
      <c r="AN39" s="130">
        <v>14.33</v>
      </c>
      <c r="AO39" s="130">
        <v>232</v>
      </c>
      <c r="AP39" s="130">
        <v>12.41</v>
      </c>
      <c r="AQ39" s="121"/>
    </row>
    <row r="40" spans="1:43" ht="28.8" x14ac:dyDescent="0.3">
      <c r="A40" s="130">
        <v>34</v>
      </c>
      <c r="B40" s="130" t="s">
        <v>8</v>
      </c>
      <c r="C40" s="130">
        <v>3351</v>
      </c>
      <c r="D40" s="130">
        <v>421</v>
      </c>
      <c r="E40" s="130">
        <v>138</v>
      </c>
      <c r="F40" s="130">
        <v>5</v>
      </c>
      <c r="G40" s="132">
        <v>564</v>
      </c>
      <c r="H40" s="130">
        <v>16.829999999999998</v>
      </c>
      <c r="I40" s="130">
        <v>397</v>
      </c>
      <c r="J40" s="130" t="s">
        <v>726</v>
      </c>
      <c r="K40" s="130">
        <v>126</v>
      </c>
      <c r="L40" s="130" t="s">
        <v>727</v>
      </c>
      <c r="M40" s="130">
        <v>5921</v>
      </c>
      <c r="N40" s="130">
        <v>2960</v>
      </c>
      <c r="O40" s="130">
        <v>38</v>
      </c>
      <c r="P40" s="130">
        <v>2998</v>
      </c>
      <c r="Q40" s="130" t="s">
        <v>728</v>
      </c>
      <c r="R40" s="130">
        <v>5882</v>
      </c>
      <c r="S40" s="130">
        <v>2314</v>
      </c>
      <c r="T40" s="130">
        <v>43</v>
      </c>
      <c r="U40" s="132">
        <v>2357</v>
      </c>
      <c r="V40" s="132">
        <v>40.07</v>
      </c>
      <c r="W40" s="130">
        <v>3724</v>
      </c>
      <c r="X40" s="132">
        <v>714</v>
      </c>
      <c r="Y40" s="132">
        <v>19.170000000000002</v>
      </c>
      <c r="Z40" s="130">
        <v>650</v>
      </c>
      <c r="AA40" s="132">
        <v>288</v>
      </c>
      <c r="AB40" s="132">
        <v>44.31</v>
      </c>
      <c r="AC40" s="130">
        <v>3726</v>
      </c>
      <c r="AD40" s="95">
        <v>1609</v>
      </c>
      <c r="AE40" s="130">
        <v>3401</v>
      </c>
      <c r="AF40" s="130" t="s">
        <v>729</v>
      </c>
      <c r="AG40" s="130">
        <v>3054</v>
      </c>
      <c r="AH40" s="130" t="s">
        <v>730</v>
      </c>
      <c r="AI40" s="130">
        <v>2794</v>
      </c>
      <c r="AJ40" s="130">
        <v>2690</v>
      </c>
      <c r="AK40" s="95">
        <v>1678</v>
      </c>
      <c r="AL40" s="130">
        <v>1602</v>
      </c>
      <c r="AM40" s="130">
        <v>1142</v>
      </c>
      <c r="AN40" s="130">
        <v>70.98</v>
      </c>
      <c r="AO40" s="130">
        <v>998</v>
      </c>
      <c r="AP40" s="130">
        <v>62.03</v>
      </c>
      <c r="AQ40" s="121"/>
    </row>
    <row r="41" spans="1:43" ht="28.8" x14ac:dyDescent="0.3">
      <c r="A41" s="130">
        <v>35</v>
      </c>
      <c r="B41" s="130" t="s">
        <v>9</v>
      </c>
      <c r="C41" s="130">
        <v>1601</v>
      </c>
      <c r="D41" s="130">
        <v>207</v>
      </c>
      <c r="E41" s="130">
        <v>145</v>
      </c>
      <c r="F41" s="130">
        <v>0</v>
      </c>
      <c r="G41" s="132">
        <v>352</v>
      </c>
      <c r="H41" s="130">
        <v>21.99</v>
      </c>
      <c r="I41" s="130">
        <v>62</v>
      </c>
      <c r="J41" s="130" t="s">
        <v>731</v>
      </c>
      <c r="K41" s="130">
        <v>10</v>
      </c>
      <c r="L41" s="130" t="s">
        <v>732</v>
      </c>
      <c r="M41" s="130">
        <v>4975</v>
      </c>
      <c r="N41" s="130">
        <v>747</v>
      </c>
      <c r="O41" s="130">
        <v>70</v>
      </c>
      <c r="P41" s="130">
        <v>817</v>
      </c>
      <c r="Q41" s="130" t="s">
        <v>733</v>
      </c>
      <c r="R41" s="130">
        <v>4953</v>
      </c>
      <c r="S41" s="130">
        <v>138</v>
      </c>
      <c r="T41" s="130">
        <v>38</v>
      </c>
      <c r="U41" s="132">
        <v>176</v>
      </c>
      <c r="V41" s="132">
        <v>3.55</v>
      </c>
      <c r="W41" s="130">
        <v>2200</v>
      </c>
      <c r="X41" s="132">
        <v>480</v>
      </c>
      <c r="Y41" s="132">
        <v>21.82</v>
      </c>
      <c r="Z41" s="130">
        <v>358</v>
      </c>
      <c r="AA41" s="132">
        <v>33</v>
      </c>
      <c r="AB41" s="132">
        <v>9.2200000000000006</v>
      </c>
      <c r="AC41" s="130">
        <v>2202</v>
      </c>
      <c r="AD41" s="95">
        <v>1003</v>
      </c>
      <c r="AE41" s="130">
        <v>2040</v>
      </c>
      <c r="AF41" s="130" t="s">
        <v>734</v>
      </c>
      <c r="AG41" s="130">
        <v>1327</v>
      </c>
      <c r="AH41" s="130" t="s">
        <v>735</v>
      </c>
      <c r="AI41" s="130">
        <v>609</v>
      </c>
      <c r="AJ41" s="130">
        <v>357</v>
      </c>
      <c r="AK41" s="95">
        <v>407</v>
      </c>
      <c r="AL41" s="130">
        <v>355</v>
      </c>
      <c r="AM41" s="130">
        <v>101</v>
      </c>
      <c r="AN41" s="130">
        <v>10.07</v>
      </c>
      <c r="AO41" s="130">
        <v>52</v>
      </c>
      <c r="AP41" s="130">
        <v>5.18</v>
      </c>
      <c r="AQ41" s="121"/>
    </row>
    <row r="42" spans="1:43" ht="14.55" customHeight="1" x14ac:dyDescent="0.3">
      <c r="A42" s="211" t="s">
        <v>312</v>
      </c>
      <c r="B42" s="211"/>
      <c r="C42" s="130">
        <v>201741</v>
      </c>
      <c r="D42" s="130">
        <v>17092</v>
      </c>
      <c r="E42" s="130">
        <v>5293</v>
      </c>
      <c r="F42" s="130">
        <v>127</v>
      </c>
      <c r="G42" s="132">
        <v>22512</v>
      </c>
      <c r="H42" s="130">
        <v>11.16</v>
      </c>
      <c r="I42" s="130">
        <v>10774</v>
      </c>
      <c r="J42" s="130" t="s">
        <v>736</v>
      </c>
      <c r="K42" s="130">
        <v>1146</v>
      </c>
      <c r="L42" s="130" t="s">
        <v>737</v>
      </c>
      <c r="M42" s="130">
        <v>596125</v>
      </c>
      <c r="N42" s="130">
        <v>131491</v>
      </c>
      <c r="O42" s="130">
        <v>15605</v>
      </c>
      <c r="P42" s="130">
        <v>147096</v>
      </c>
      <c r="Q42" s="130" t="s">
        <v>738</v>
      </c>
      <c r="R42" s="130">
        <v>592796</v>
      </c>
      <c r="S42" s="130">
        <v>51270</v>
      </c>
      <c r="T42" s="130">
        <v>13329</v>
      </c>
      <c r="U42" s="132">
        <v>64599</v>
      </c>
      <c r="V42" s="132">
        <v>10.9</v>
      </c>
      <c r="W42" s="130">
        <v>276616</v>
      </c>
      <c r="X42" s="132">
        <v>55144</v>
      </c>
      <c r="Y42" s="132">
        <v>19.940000000000001</v>
      </c>
      <c r="Z42" s="130">
        <v>29309</v>
      </c>
      <c r="AA42" s="132">
        <v>7750</v>
      </c>
      <c r="AB42" s="132">
        <v>26.44</v>
      </c>
      <c r="AC42" s="130">
        <v>276710</v>
      </c>
      <c r="AD42" s="95">
        <v>123933</v>
      </c>
      <c r="AE42" s="130">
        <v>228672</v>
      </c>
      <c r="AF42" s="130" t="s">
        <v>739</v>
      </c>
      <c r="AG42" s="130">
        <v>173990</v>
      </c>
      <c r="AH42" s="130" t="s">
        <v>740</v>
      </c>
      <c r="AI42" s="130">
        <v>135769</v>
      </c>
      <c r="AJ42" s="130">
        <v>124885</v>
      </c>
      <c r="AK42" s="95">
        <v>96844</v>
      </c>
      <c r="AL42" s="130">
        <v>90841</v>
      </c>
      <c r="AM42" s="130">
        <v>49129</v>
      </c>
      <c r="AN42" s="130">
        <v>39.64</v>
      </c>
      <c r="AO42" s="130">
        <v>42978</v>
      </c>
      <c r="AP42" s="130">
        <v>34.68</v>
      </c>
      <c r="AQ42" s="121"/>
    </row>
  </sheetData>
  <mergeCells count="46">
    <mergeCell ref="A42:B42"/>
    <mergeCell ref="AD4:AD5"/>
    <mergeCell ref="AE4:AE5"/>
    <mergeCell ref="AF4:AF5"/>
    <mergeCell ref="AG4:AG5"/>
    <mergeCell ref="X4:X5"/>
    <mergeCell ref="Y4:Y5"/>
    <mergeCell ref="Z4:Z5"/>
    <mergeCell ref="AA4:AA5"/>
    <mergeCell ref="AB4:AB5"/>
    <mergeCell ref="AC4:AC5"/>
    <mergeCell ref="A3:A5"/>
    <mergeCell ref="B3:B5"/>
    <mergeCell ref="R4:R5"/>
    <mergeCell ref="S4:S5"/>
    <mergeCell ref="T4:T5"/>
    <mergeCell ref="W3:Y3"/>
    <mergeCell ref="Z3:AC3"/>
    <mergeCell ref="AD3:AQ3"/>
    <mergeCell ref="C4:G4"/>
    <mergeCell ref="H4:H5"/>
    <mergeCell ref="I4:I5"/>
    <mergeCell ref="J4:J5"/>
    <mergeCell ref="K4:K5"/>
    <mergeCell ref="L4:L5"/>
    <mergeCell ref="M4:M5"/>
    <mergeCell ref="C3:H3"/>
    <mergeCell ref="I3:J3"/>
    <mergeCell ref="K3:L3"/>
    <mergeCell ref="M3:V3"/>
    <mergeCell ref="N4:N5"/>
    <mergeCell ref="AJ4:AJ5"/>
    <mergeCell ref="AM4:AM5"/>
    <mergeCell ref="AN4:AN5"/>
    <mergeCell ref="AO4:AO5"/>
    <mergeCell ref="AP4:AP5"/>
    <mergeCell ref="O4:O5"/>
    <mergeCell ref="P4:P5"/>
    <mergeCell ref="Q4:Q5"/>
    <mergeCell ref="W4:W5"/>
    <mergeCell ref="AK4:AK5"/>
    <mergeCell ref="AL4:AL5"/>
    <mergeCell ref="AH4:AH5"/>
    <mergeCell ref="AI4:AI5"/>
    <mergeCell ref="U4:U5"/>
    <mergeCell ref="V4:V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764B9-72E1-4BB0-85C5-1ED23331D435}">
  <dimension ref="A1:AH42"/>
  <sheetViews>
    <sheetView topLeftCell="E1" workbookViewId="0">
      <selection activeCell="S4" sqref="S4:S5"/>
    </sheetView>
  </sheetViews>
  <sheetFormatPr defaultRowHeight="14.4" x14ac:dyDescent="0.3"/>
  <cols>
    <col min="2" max="2" width="17.6640625" customWidth="1"/>
    <col min="6" max="6" width="30.77734375" customWidth="1"/>
    <col min="19" max="19" width="18.21875" customWidth="1"/>
  </cols>
  <sheetData>
    <row r="1" spans="1:34" x14ac:dyDescent="0.3">
      <c r="A1" s="121" t="s">
        <v>356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</row>
    <row r="2" spans="1:34" x14ac:dyDescent="0.3">
      <c r="A2" s="121" t="s">
        <v>0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</row>
    <row r="3" spans="1:34" x14ac:dyDescent="0.3">
      <c r="A3" s="210" t="s">
        <v>1</v>
      </c>
      <c r="B3" s="210" t="s">
        <v>2</v>
      </c>
      <c r="C3" s="210" t="s">
        <v>357</v>
      </c>
      <c r="D3" s="210" t="s">
        <v>358</v>
      </c>
      <c r="E3" s="210"/>
      <c r="F3" s="210"/>
      <c r="G3" s="210"/>
      <c r="H3" s="210"/>
      <c r="I3" s="210"/>
      <c r="J3" s="210"/>
      <c r="K3" s="210"/>
      <c r="L3" s="210" t="s">
        <v>359</v>
      </c>
      <c r="M3" s="210"/>
      <c r="N3" s="210"/>
      <c r="O3" s="210"/>
      <c r="P3" s="210"/>
      <c r="Q3" s="210"/>
      <c r="R3" s="210"/>
      <c r="S3" s="210"/>
      <c r="T3" s="210"/>
      <c r="U3" s="210" t="s">
        <v>360</v>
      </c>
      <c r="V3" s="210"/>
      <c r="W3" s="210"/>
      <c r="X3" s="210"/>
      <c r="Y3" s="210"/>
      <c r="Z3" s="210"/>
      <c r="AA3" s="210"/>
      <c r="AB3" s="210"/>
      <c r="AC3" s="210"/>
      <c r="AD3" s="210"/>
      <c r="AE3" s="210"/>
      <c r="AF3" s="210"/>
      <c r="AG3" s="210" t="s">
        <v>361</v>
      </c>
      <c r="AH3" s="210"/>
    </row>
    <row r="4" spans="1:34" x14ac:dyDescent="0.3">
      <c r="A4" s="210"/>
      <c r="B4" s="210"/>
      <c r="C4" s="210"/>
      <c r="D4" s="210" t="s">
        <v>362</v>
      </c>
      <c r="E4" s="210" t="s">
        <v>3</v>
      </c>
      <c r="F4" s="212" t="s">
        <v>363</v>
      </c>
      <c r="G4" s="212" t="s">
        <v>3</v>
      </c>
      <c r="H4" s="210" t="s">
        <v>364</v>
      </c>
      <c r="I4" s="210"/>
      <c r="J4" s="210" t="s">
        <v>365</v>
      </c>
      <c r="K4" s="210"/>
      <c r="L4" s="210" t="s">
        <v>366</v>
      </c>
      <c r="M4" s="210" t="s">
        <v>367</v>
      </c>
      <c r="N4" s="210" t="s">
        <v>3</v>
      </c>
      <c r="O4" s="210" t="s">
        <v>368</v>
      </c>
      <c r="P4" s="210" t="s">
        <v>369</v>
      </c>
      <c r="Q4" s="210" t="s">
        <v>3</v>
      </c>
      <c r="R4" s="210" t="s">
        <v>370</v>
      </c>
      <c r="S4" s="212" t="s">
        <v>371</v>
      </c>
      <c r="T4" s="212" t="s">
        <v>3</v>
      </c>
      <c r="U4" s="210" t="s">
        <v>372</v>
      </c>
      <c r="V4" s="210"/>
      <c r="W4" s="210"/>
      <c r="X4" s="210"/>
      <c r="Y4" s="210" t="s">
        <v>3</v>
      </c>
      <c r="Z4" s="210" t="s">
        <v>373</v>
      </c>
      <c r="AA4" s="210"/>
      <c r="AB4" s="210"/>
      <c r="AC4" s="210"/>
      <c r="AD4" s="210" t="s">
        <v>3</v>
      </c>
      <c r="AE4" s="212" t="s">
        <v>374</v>
      </c>
      <c r="AF4" s="212" t="s">
        <v>3</v>
      </c>
      <c r="AG4" s="210" t="s">
        <v>375</v>
      </c>
      <c r="AH4" s="210" t="s">
        <v>3</v>
      </c>
    </row>
    <row r="5" spans="1:34" ht="57.6" x14ac:dyDescent="0.3">
      <c r="A5" s="210"/>
      <c r="B5" s="210"/>
      <c r="C5" s="210"/>
      <c r="D5" s="210"/>
      <c r="E5" s="210"/>
      <c r="F5" s="212"/>
      <c r="G5" s="212"/>
      <c r="H5" s="122" t="s">
        <v>376</v>
      </c>
      <c r="I5" s="122" t="s">
        <v>377</v>
      </c>
      <c r="J5" s="122" t="s">
        <v>376</v>
      </c>
      <c r="K5" s="122" t="s">
        <v>377</v>
      </c>
      <c r="L5" s="210"/>
      <c r="M5" s="210"/>
      <c r="N5" s="210"/>
      <c r="O5" s="210"/>
      <c r="P5" s="210"/>
      <c r="Q5" s="210"/>
      <c r="R5" s="210"/>
      <c r="S5" s="212"/>
      <c r="T5" s="212"/>
      <c r="U5" s="122" t="s">
        <v>378</v>
      </c>
      <c r="V5" s="122" t="s">
        <v>379</v>
      </c>
      <c r="W5" s="122" t="s">
        <v>380</v>
      </c>
      <c r="X5" s="122" t="s">
        <v>381</v>
      </c>
      <c r="Y5" s="210"/>
      <c r="Z5" s="122" t="s">
        <v>378</v>
      </c>
      <c r="AA5" s="122" t="s">
        <v>379</v>
      </c>
      <c r="AB5" s="122" t="s">
        <v>380</v>
      </c>
      <c r="AC5" s="122" t="s">
        <v>381</v>
      </c>
      <c r="AD5" s="210"/>
      <c r="AE5" s="212"/>
      <c r="AF5" s="212"/>
      <c r="AG5" s="210"/>
      <c r="AH5" s="210"/>
    </row>
    <row r="6" spans="1:34" x14ac:dyDescent="0.3">
      <c r="A6" s="122" t="s">
        <v>235</v>
      </c>
      <c r="B6" s="122" t="s">
        <v>236</v>
      </c>
      <c r="C6" s="122" t="s">
        <v>237</v>
      </c>
      <c r="D6" s="122" t="s">
        <v>238</v>
      </c>
      <c r="E6" s="122" t="s">
        <v>239</v>
      </c>
      <c r="F6" s="125" t="s">
        <v>240</v>
      </c>
      <c r="G6" s="125" t="s">
        <v>241</v>
      </c>
      <c r="H6" s="122" t="s">
        <v>242</v>
      </c>
      <c r="I6" s="122" t="s">
        <v>243</v>
      </c>
      <c r="J6" s="122" t="s">
        <v>244</v>
      </c>
      <c r="K6" s="122" t="s">
        <v>245</v>
      </c>
      <c r="L6" s="122" t="s">
        <v>246</v>
      </c>
      <c r="M6" s="122" t="s">
        <v>247</v>
      </c>
      <c r="N6" s="122" t="s">
        <v>248</v>
      </c>
      <c r="O6" s="122" t="s">
        <v>249</v>
      </c>
      <c r="P6" s="122" t="s">
        <v>250</v>
      </c>
      <c r="Q6" s="122" t="s">
        <v>251</v>
      </c>
      <c r="R6" s="122" t="s">
        <v>252</v>
      </c>
      <c r="S6" s="125" t="s">
        <v>253</v>
      </c>
      <c r="T6" s="125" t="s">
        <v>254</v>
      </c>
      <c r="U6" s="122" t="s">
        <v>255</v>
      </c>
      <c r="V6" s="122" t="s">
        <v>256</v>
      </c>
      <c r="W6" s="122" t="s">
        <v>257</v>
      </c>
      <c r="X6" s="122" t="s">
        <v>258</v>
      </c>
      <c r="Y6" s="122" t="s">
        <v>259</v>
      </c>
      <c r="Z6" s="122" t="s">
        <v>260</v>
      </c>
      <c r="AA6" s="122" t="s">
        <v>261</v>
      </c>
      <c r="AB6" s="122" t="s">
        <v>262</v>
      </c>
      <c r="AC6" s="122" t="s">
        <v>263</v>
      </c>
      <c r="AD6" s="122" t="s">
        <v>264</v>
      </c>
      <c r="AE6" s="125" t="s">
        <v>265</v>
      </c>
      <c r="AF6" s="125" t="s">
        <v>266</v>
      </c>
      <c r="AG6" s="122" t="s">
        <v>267</v>
      </c>
      <c r="AH6" s="122" t="s">
        <v>268</v>
      </c>
    </row>
    <row r="7" spans="1:34" ht="28.8" x14ac:dyDescent="0.3">
      <c r="A7" s="123">
        <v>1</v>
      </c>
      <c r="B7" s="123" t="s">
        <v>273</v>
      </c>
      <c r="C7" s="123">
        <v>78835</v>
      </c>
      <c r="D7" s="123">
        <v>78835</v>
      </c>
      <c r="E7" s="123">
        <v>100</v>
      </c>
      <c r="F7" s="126">
        <v>77877</v>
      </c>
      <c r="G7" s="126">
        <v>98.78</v>
      </c>
      <c r="H7" s="123">
        <v>2957</v>
      </c>
      <c r="I7" s="123">
        <v>78835</v>
      </c>
      <c r="J7" s="123">
        <v>2957</v>
      </c>
      <c r="K7" s="123">
        <v>77877</v>
      </c>
      <c r="L7" s="123">
        <v>15901</v>
      </c>
      <c r="M7" s="123">
        <v>15058</v>
      </c>
      <c r="N7" s="123" t="s">
        <v>382</v>
      </c>
      <c r="O7" s="123">
        <v>14095</v>
      </c>
      <c r="P7" s="123">
        <v>13400</v>
      </c>
      <c r="Q7" s="123" t="s">
        <v>383</v>
      </c>
      <c r="R7" s="123">
        <v>29996</v>
      </c>
      <c r="S7" s="126">
        <v>28458</v>
      </c>
      <c r="T7" s="126">
        <v>94.87</v>
      </c>
      <c r="U7" s="123">
        <v>1671</v>
      </c>
      <c r="V7" s="123">
        <v>455</v>
      </c>
      <c r="W7" s="123">
        <v>45</v>
      </c>
      <c r="X7" s="123">
        <v>2171</v>
      </c>
      <c r="Y7" s="123" t="s">
        <v>384</v>
      </c>
      <c r="Z7" s="123">
        <v>1715</v>
      </c>
      <c r="AA7" s="123">
        <v>728</v>
      </c>
      <c r="AB7" s="123">
        <v>44</v>
      </c>
      <c r="AC7" s="123">
        <v>2487</v>
      </c>
      <c r="AD7" s="123" t="s">
        <v>385</v>
      </c>
      <c r="AE7" s="126">
        <v>4658</v>
      </c>
      <c r="AF7" s="126">
        <v>16.37</v>
      </c>
      <c r="AG7" s="123">
        <v>4421</v>
      </c>
      <c r="AH7" s="123" t="s">
        <v>386</v>
      </c>
    </row>
    <row r="8" spans="1:34" ht="28.8" x14ac:dyDescent="0.3">
      <c r="A8" s="123">
        <v>2</v>
      </c>
      <c r="B8" s="123" t="s">
        <v>275</v>
      </c>
      <c r="C8" s="123">
        <v>80194</v>
      </c>
      <c r="D8" s="123">
        <v>80194</v>
      </c>
      <c r="E8" s="123">
        <v>100</v>
      </c>
      <c r="F8" s="126">
        <v>80194</v>
      </c>
      <c r="G8" s="126">
        <v>100</v>
      </c>
      <c r="H8" s="123">
        <v>0</v>
      </c>
      <c r="I8" s="123">
        <v>80194</v>
      </c>
      <c r="J8" s="123">
        <v>0</v>
      </c>
      <c r="K8" s="123">
        <v>80194</v>
      </c>
      <c r="L8" s="123">
        <v>13428</v>
      </c>
      <c r="M8" s="123">
        <v>13428</v>
      </c>
      <c r="N8" s="123">
        <v>100</v>
      </c>
      <c r="O8" s="123">
        <v>13425</v>
      </c>
      <c r="P8" s="123">
        <v>13425</v>
      </c>
      <c r="Q8" s="123">
        <v>100</v>
      </c>
      <c r="R8" s="123">
        <v>26853</v>
      </c>
      <c r="S8" s="126">
        <v>26853</v>
      </c>
      <c r="T8" s="126">
        <v>100</v>
      </c>
      <c r="U8" s="123">
        <v>2118</v>
      </c>
      <c r="V8" s="123">
        <v>1146</v>
      </c>
      <c r="W8" s="123">
        <v>21</v>
      </c>
      <c r="X8" s="123">
        <v>3285</v>
      </c>
      <c r="Y8" s="123" t="s">
        <v>387</v>
      </c>
      <c r="Z8" s="123">
        <v>1843</v>
      </c>
      <c r="AA8" s="123">
        <v>1465</v>
      </c>
      <c r="AB8" s="123">
        <v>38</v>
      </c>
      <c r="AC8" s="123">
        <v>3346</v>
      </c>
      <c r="AD8" s="123" t="s">
        <v>388</v>
      </c>
      <c r="AE8" s="126">
        <v>6631</v>
      </c>
      <c r="AF8" s="126">
        <v>24.69</v>
      </c>
      <c r="AG8" s="123">
        <v>6520</v>
      </c>
      <c r="AH8" s="123" t="s">
        <v>389</v>
      </c>
    </row>
    <row r="9" spans="1:34" ht="28.8" x14ac:dyDescent="0.3">
      <c r="A9" s="123">
        <v>3</v>
      </c>
      <c r="B9" s="123" t="s">
        <v>276</v>
      </c>
      <c r="C9" s="123">
        <v>42796</v>
      </c>
      <c r="D9" s="123">
        <v>42770</v>
      </c>
      <c r="E9" s="123" t="s">
        <v>390</v>
      </c>
      <c r="F9" s="126">
        <v>42770</v>
      </c>
      <c r="G9" s="126">
        <v>99.94</v>
      </c>
      <c r="H9" s="123">
        <v>0</v>
      </c>
      <c r="I9" s="123">
        <v>42770</v>
      </c>
      <c r="J9" s="123">
        <v>0</v>
      </c>
      <c r="K9" s="123">
        <v>42770</v>
      </c>
      <c r="L9" s="123">
        <v>7214</v>
      </c>
      <c r="M9" s="123">
        <v>7130</v>
      </c>
      <c r="N9" s="123" t="s">
        <v>391</v>
      </c>
      <c r="O9" s="123">
        <v>7263</v>
      </c>
      <c r="P9" s="123">
        <v>7222</v>
      </c>
      <c r="Q9" s="123" t="s">
        <v>392</v>
      </c>
      <c r="R9" s="123">
        <v>14477</v>
      </c>
      <c r="S9" s="126">
        <v>14352</v>
      </c>
      <c r="T9" s="126">
        <v>99.14</v>
      </c>
      <c r="U9" s="123">
        <v>951</v>
      </c>
      <c r="V9" s="123">
        <v>637</v>
      </c>
      <c r="W9" s="123">
        <v>19</v>
      </c>
      <c r="X9" s="123">
        <v>1607</v>
      </c>
      <c r="Y9" s="123" t="s">
        <v>393</v>
      </c>
      <c r="Z9" s="123">
        <v>1206</v>
      </c>
      <c r="AA9" s="123">
        <v>835</v>
      </c>
      <c r="AB9" s="123">
        <v>36</v>
      </c>
      <c r="AC9" s="123">
        <v>2077</v>
      </c>
      <c r="AD9" s="123" t="s">
        <v>394</v>
      </c>
      <c r="AE9" s="126">
        <v>3684</v>
      </c>
      <c r="AF9" s="126">
        <v>25.67</v>
      </c>
      <c r="AG9" s="123">
        <v>3671</v>
      </c>
      <c r="AH9" s="123" t="s">
        <v>395</v>
      </c>
    </row>
    <row r="10" spans="1:34" ht="28.8" x14ac:dyDescent="0.3">
      <c r="A10" s="123">
        <v>4</v>
      </c>
      <c r="B10" s="123" t="s">
        <v>277</v>
      </c>
      <c r="C10" s="123">
        <v>40659</v>
      </c>
      <c r="D10" s="123">
        <v>39638</v>
      </c>
      <c r="E10" s="123" t="s">
        <v>396</v>
      </c>
      <c r="F10" s="126">
        <v>39209</v>
      </c>
      <c r="G10" s="126">
        <v>96.43</v>
      </c>
      <c r="H10" s="123">
        <v>10390</v>
      </c>
      <c r="I10" s="123">
        <v>39638</v>
      </c>
      <c r="J10" s="123">
        <v>6951</v>
      </c>
      <c r="K10" s="123">
        <v>39209</v>
      </c>
      <c r="L10" s="123">
        <v>7711</v>
      </c>
      <c r="M10" s="123">
        <v>7304</v>
      </c>
      <c r="N10" s="123" t="s">
        <v>397</v>
      </c>
      <c r="O10" s="123">
        <v>6436</v>
      </c>
      <c r="P10" s="123">
        <v>5857</v>
      </c>
      <c r="Q10" s="123">
        <v>91</v>
      </c>
      <c r="R10" s="123">
        <v>14147</v>
      </c>
      <c r="S10" s="126">
        <v>13161</v>
      </c>
      <c r="T10" s="126">
        <v>93.03</v>
      </c>
      <c r="U10" s="123">
        <v>1352</v>
      </c>
      <c r="V10" s="123">
        <v>919</v>
      </c>
      <c r="W10" s="123">
        <v>55</v>
      </c>
      <c r="X10" s="123">
        <v>2326</v>
      </c>
      <c r="Y10" s="123" t="s">
        <v>398</v>
      </c>
      <c r="Z10" s="123">
        <v>1002</v>
      </c>
      <c r="AA10" s="123">
        <v>1018</v>
      </c>
      <c r="AB10" s="123">
        <v>26</v>
      </c>
      <c r="AC10" s="123">
        <v>2046</v>
      </c>
      <c r="AD10" s="123" t="s">
        <v>399</v>
      </c>
      <c r="AE10" s="126">
        <v>4372</v>
      </c>
      <c r="AF10" s="126">
        <v>33.22</v>
      </c>
      <c r="AG10" s="123">
        <v>4343</v>
      </c>
      <c r="AH10" s="123" t="s">
        <v>400</v>
      </c>
    </row>
    <row r="11" spans="1:34" ht="28.8" x14ac:dyDescent="0.3">
      <c r="A11" s="123">
        <v>5</v>
      </c>
      <c r="B11" s="123" t="s">
        <v>279</v>
      </c>
      <c r="C11" s="123">
        <v>56807</v>
      </c>
      <c r="D11" s="123">
        <v>52530</v>
      </c>
      <c r="E11" s="123" t="s">
        <v>401</v>
      </c>
      <c r="F11" s="126">
        <v>52447</v>
      </c>
      <c r="G11" s="126">
        <v>92.32</v>
      </c>
      <c r="H11" s="123">
        <v>3719</v>
      </c>
      <c r="I11" s="123">
        <v>52530</v>
      </c>
      <c r="J11" s="123">
        <v>3526</v>
      </c>
      <c r="K11" s="123">
        <v>52447</v>
      </c>
      <c r="L11" s="123">
        <v>11273</v>
      </c>
      <c r="M11" s="123">
        <v>10054</v>
      </c>
      <c r="N11" s="123" t="s">
        <v>402</v>
      </c>
      <c r="O11" s="123">
        <v>10139</v>
      </c>
      <c r="P11" s="123">
        <v>9297</v>
      </c>
      <c r="Q11" s="123" t="s">
        <v>403</v>
      </c>
      <c r="R11" s="123">
        <v>21412</v>
      </c>
      <c r="S11" s="126">
        <v>19351</v>
      </c>
      <c r="T11" s="126">
        <v>90.37</v>
      </c>
      <c r="U11" s="123">
        <v>1058</v>
      </c>
      <c r="V11" s="123">
        <v>578</v>
      </c>
      <c r="W11" s="123">
        <v>29</v>
      </c>
      <c r="X11" s="123">
        <v>1665</v>
      </c>
      <c r="Y11" s="123" t="s">
        <v>404</v>
      </c>
      <c r="Z11" s="123">
        <v>866</v>
      </c>
      <c r="AA11" s="123">
        <v>541</v>
      </c>
      <c r="AB11" s="123">
        <v>35</v>
      </c>
      <c r="AC11" s="123">
        <v>1442</v>
      </c>
      <c r="AD11" s="123" t="s">
        <v>405</v>
      </c>
      <c r="AE11" s="126">
        <v>3107</v>
      </c>
      <c r="AF11" s="126">
        <v>16.059999999999999</v>
      </c>
      <c r="AG11" s="123">
        <v>3033</v>
      </c>
      <c r="AH11" s="123" t="s">
        <v>406</v>
      </c>
    </row>
    <row r="12" spans="1:34" ht="28.8" x14ac:dyDescent="0.3">
      <c r="A12" s="123">
        <v>6</v>
      </c>
      <c r="B12" s="123" t="s">
        <v>280</v>
      </c>
      <c r="C12" s="123">
        <v>33602</v>
      </c>
      <c r="D12" s="123">
        <v>29337</v>
      </c>
      <c r="E12" s="123" t="s">
        <v>407</v>
      </c>
      <c r="F12" s="126">
        <v>29322</v>
      </c>
      <c r="G12" s="126">
        <v>87.26</v>
      </c>
      <c r="H12" s="123">
        <v>4311</v>
      </c>
      <c r="I12" s="123">
        <v>29337</v>
      </c>
      <c r="J12" s="123">
        <v>4304</v>
      </c>
      <c r="K12" s="123">
        <v>29322</v>
      </c>
      <c r="L12" s="123">
        <v>4737</v>
      </c>
      <c r="M12" s="123">
        <v>4662</v>
      </c>
      <c r="N12" s="123" t="s">
        <v>408</v>
      </c>
      <c r="O12" s="123">
        <v>6341</v>
      </c>
      <c r="P12" s="123">
        <v>6270</v>
      </c>
      <c r="Q12" s="123" t="s">
        <v>409</v>
      </c>
      <c r="R12" s="123">
        <v>11078</v>
      </c>
      <c r="S12" s="126">
        <v>10932</v>
      </c>
      <c r="T12" s="126">
        <v>98.68</v>
      </c>
      <c r="U12" s="123">
        <v>386</v>
      </c>
      <c r="V12" s="123">
        <v>222</v>
      </c>
      <c r="W12" s="123">
        <v>29</v>
      </c>
      <c r="X12" s="123">
        <v>637</v>
      </c>
      <c r="Y12" s="123" t="s">
        <v>410</v>
      </c>
      <c r="Z12" s="123">
        <v>571</v>
      </c>
      <c r="AA12" s="123">
        <v>347</v>
      </c>
      <c r="AB12" s="123">
        <v>31</v>
      </c>
      <c r="AC12" s="123">
        <v>949</v>
      </c>
      <c r="AD12" s="123" t="s">
        <v>411</v>
      </c>
      <c r="AE12" s="126">
        <v>1586</v>
      </c>
      <c r="AF12" s="126">
        <v>14.51</v>
      </c>
      <c r="AG12" s="123">
        <v>1585</v>
      </c>
      <c r="AH12" s="123" t="s">
        <v>390</v>
      </c>
    </row>
    <row r="13" spans="1:34" ht="28.8" x14ac:dyDescent="0.3">
      <c r="A13" s="123">
        <v>7</v>
      </c>
      <c r="B13" s="123" t="s">
        <v>281</v>
      </c>
      <c r="C13" s="123">
        <v>36469</v>
      </c>
      <c r="D13" s="123">
        <v>36394</v>
      </c>
      <c r="E13" s="123" t="s">
        <v>412</v>
      </c>
      <c r="F13" s="126">
        <v>36372</v>
      </c>
      <c r="G13" s="126">
        <v>99.73</v>
      </c>
      <c r="H13" s="123">
        <v>796</v>
      </c>
      <c r="I13" s="123">
        <v>36394</v>
      </c>
      <c r="J13" s="123">
        <v>796</v>
      </c>
      <c r="K13" s="123">
        <v>36372</v>
      </c>
      <c r="L13" s="123">
        <v>8364</v>
      </c>
      <c r="M13" s="123">
        <v>8321</v>
      </c>
      <c r="N13" s="123" t="s">
        <v>413</v>
      </c>
      <c r="O13" s="123">
        <v>7504</v>
      </c>
      <c r="P13" s="123">
        <v>7094</v>
      </c>
      <c r="Q13" s="123" t="s">
        <v>414</v>
      </c>
      <c r="R13" s="123">
        <v>15868</v>
      </c>
      <c r="S13" s="126">
        <v>15415</v>
      </c>
      <c r="T13" s="126">
        <v>97.15</v>
      </c>
      <c r="U13" s="123">
        <v>514</v>
      </c>
      <c r="V13" s="123">
        <v>284</v>
      </c>
      <c r="W13" s="123">
        <v>9</v>
      </c>
      <c r="X13" s="123">
        <v>807</v>
      </c>
      <c r="Y13" s="123" t="s">
        <v>415</v>
      </c>
      <c r="Z13" s="123">
        <v>663</v>
      </c>
      <c r="AA13" s="123">
        <v>282</v>
      </c>
      <c r="AB13" s="123">
        <v>30</v>
      </c>
      <c r="AC13" s="123">
        <v>975</v>
      </c>
      <c r="AD13" s="123" t="s">
        <v>416</v>
      </c>
      <c r="AE13" s="126">
        <v>1782</v>
      </c>
      <c r="AF13" s="126">
        <v>11.56</v>
      </c>
      <c r="AG13" s="123">
        <v>1742</v>
      </c>
      <c r="AH13" s="123" t="s">
        <v>417</v>
      </c>
    </row>
    <row r="14" spans="1:34" ht="28.8" x14ac:dyDescent="0.3">
      <c r="A14" s="123">
        <v>8</v>
      </c>
      <c r="B14" s="123" t="s">
        <v>282</v>
      </c>
      <c r="C14" s="123">
        <v>50183</v>
      </c>
      <c r="D14" s="123">
        <v>43832</v>
      </c>
      <c r="E14" s="123" t="s">
        <v>418</v>
      </c>
      <c r="F14" s="126">
        <v>43774</v>
      </c>
      <c r="G14" s="126">
        <v>87.23</v>
      </c>
      <c r="H14" s="123">
        <v>17406</v>
      </c>
      <c r="I14" s="123">
        <v>43832</v>
      </c>
      <c r="J14" s="123">
        <v>17406</v>
      </c>
      <c r="K14" s="123">
        <v>43774</v>
      </c>
      <c r="L14" s="123">
        <v>9107</v>
      </c>
      <c r="M14" s="123">
        <v>8222</v>
      </c>
      <c r="N14" s="123" t="s">
        <v>419</v>
      </c>
      <c r="O14" s="123">
        <v>7879</v>
      </c>
      <c r="P14" s="123">
        <v>6484</v>
      </c>
      <c r="Q14" s="123" t="s">
        <v>420</v>
      </c>
      <c r="R14" s="123">
        <v>16986</v>
      </c>
      <c r="S14" s="126">
        <v>14706</v>
      </c>
      <c r="T14" s="126">
        <v>86.58</v>
      </c>
      <c r="U14" s="123">
        <v>1926</v>
      </c>
      <c r="V14" s="123">
        <v>1259</v>
      </c>
      <c r="W14" s="123">
        <v>33</v>
      </c>
      <c r="X14" s="123">
        <v>3218</v>
      </c>
      <c r="Y14" s="123" t="s">
        <v>421</v>
      </c>
      <c r="Z14" s="123">
        <v>1536</v>
      </c>
      <c r="AA14" s="123">
        <v>1055</v>
      </c>
      <c r="AB14" s="123">
        <v>21</v>
      </c>
      <c r="AC14" s="123">
        <v>2612</v>
      </c>
      <c r="AD14" s="123" t="s">
        <v>422</v>
      </c>
      <c r="AE14" s="126">
        <v>5830</v>
      </c>
      <c r="AF14" s="126">
        <v>39.64</v>
      </c>
      <c r="AG14" s="123">
        <v>5432</v>
      </c>
      <c r="AH14" s="123" t="s">
        <v>423</v>
      </c>
    </row>
    <row r="15" spans="1:34" ht="28.8" x14ac:dyDescent="0.3">
      <c r="A15" s="123">
        <v>9</v>
      </c>
      <c r="B15" s="123" t="s">
        <v>283</v>
      </c>
      <c r="C15" s="123">
        <v>45227</v>
      </c>
      <c r="D15" s="123">
        <v>45147</v>
      </c>
      <c r="E15" s="123" t="s">
        <v>424</v>
      </c>
      <c r="F15" s="126">
        <v>44948</v>
      </c>
      <c r="G15" s="126">
        <v>99.38</v>
      </c>
      <c r="H15" s="123">
        <v>1515</v>
      </c>
      <c r="I15" s="123">
        <v>45147</v>
      </c>
      <c r="J15" s="123">
        <v>1515</v>
      </c>
      <c r="K15" s="123">
        <v>44948</v>
      </c>
      <c r="L15" s="123">
        <v>7887</v>
      </c>
      <c r="M15" s="123">
        <v>7886</v>
      </c>
      <c r="N15" s="123" t="s">
        <v>425</v>
      </c>
      <c r="O15" s="123">
        <v>7893</v>
      </c>
      <c r="P15" s="123">
        <v>8015</v>
      </c>
      <c r="Q15" s="124" t="s">
        <v>426</v>
      </c>
      <c r="R15" s="123">
        <v>15780</v>
      </c>
      <c r="S15" s="126">
        <v>15901</v>
      </c>
      <c r="T15" s="126">
        <v>100.77</v>
      </c>
      <c r="U15" s="123">
        <v>786</v>
      </c>
      <c r="V15" s="123">
        <v>494</v>
      </c>
      <c r="W15" s="123">
        <v>14</v>
      </c>
      <c r="X15" s="123">
        <v>1294</v>
      </c>
      <c r="Y15" s="123" t="s">
        <v>427</v>
      </c>
      <c r="Z15" s="123">
        <v>615</v>
      </c>
      <c r="AA15" s="123">
        <v>301</v>
      </c>
      <c r="AB15" s="123">
        <v>17</v>
      </c>
      <c r="AC15" s="123">
        <v>933</v>
      </c>
      <c r="AD15" s="123" t="s">
        <v>428</v>
      </c>
      <c r="AE15" s="126">
        <v>2227</v>
      </c>
      <c r="AF15" s="126">
        <v>14.01</v>
      </c>
      <c r="AG15" s="123">
        <v>2217</v>
      </c>
      <c r="AH15" s="123" t="s">
        <v>429</v>
      </c>
    </row>
    <row r="16" spans="1:34" ht="28.8" x14ac:dyDescent="0.3">
      <c r="A16" s="123">
        <v>10</v>
      </c>
      <c r="B16" s="123" t="s">
        <v>284</v>
      </c>
      <c r="C16" s="123">
        <v>46894</v>
      </c>
      <c r="D16" s="123">
        <v>43682</v>
      </c>
      <c r="E16" s="123" t="s">
        <v>430</v>
      </c>
      <c r="F16" s="126">
        <v>43248</v>
      </c>
      <c r="G16" s="126">
        <v>92.23</v>
      </c>
      <c r="H16" s="123">
        <v>2556</v>
      </c>
      <c r="I16" s="123">
        <v>43682</v>
      </c>
      <c r="J16" s="123">
        <v>2494</v>
      </c>
      <c r="K16" s="123">
        <v>43248</v>
      </c>
      <c r="L16" s="123">
        <v>10320</v>
      </c>
      <c r="M16" s="123">
        <v>10184</v>
      </c>
      <c r="N16" s="123" t="s">
        <v>431</v>
      </c>
      <c r="O16" s="123">
        <v>10200</v>
      </c>
      <c r="P16" s="123">
        <v>10104</v>
      </c>
      <c r="Q16" s="123" t="s">
        <v>432</v>
      </c>
      <c r="R16" s="123">
        <v>20520</v>
      </c>
      <c r="S16" s="126">
        <v>20288</v>
      </c>
      <c r="T16" s="126">
        <v>98.87</v>
      </c>
      <c r="U16" s="123">
        <v>1390</v>
      </c>
      <c r="V16" s="123">
        <v>911</v>
      </c>
      <c r="W16" s="123">
        <v>79</v>
      </c>
      <c r="X16" s="123">
        <v>2380</v>
      </c>
      <c r="Y16" s="123" t="s">
        <v>433</v>
      </c>
      <c r="Z16" s="123">
        <v>1264</v>
      </c>
      <c r="AA16" s="123">
        <v>592</v>
      </c>
      <c r="AB16" s="123">
        <v>38</v>
      </c>
      <c r="AC16" s="123">
        <v>1894</v>
      </c>
      <c r="AD16" s="123" t="s">
        <v>434</v>
      </c>
      <c r="AE16" s="126">
        <v>4274</v>
      </c>
      <c r="AF16" s="126">
        <v>21.07</v>
      </c>
      <c r="AG16" s="123">
        <v>3855</v>
      </c>
      <c r="AH16" s="123" t="s">
        <v>435</v>
      </c>
    </row>
    <row r="17" spans="1:34" ht="28.8" x14ac:dyDescent="0.3">
      <c r="A17" s="123">
        <v>11</v>
      </c>
      <c r="B17" s="123" t="s">
        <v>285</v>
      </c>
      <c r="C17" s="123">
        <v>37629</v>
      </c>
      <c r="D17" s="123">
        <v>37629</v>
      </c>
      <c r="E17" s="123">
        <v>100</v>
      </c>
      <c r="F17" s="126">
        <v>37428</v>
      </c>
      <c r="G17" s="126">
        <v>99.47</v>
      </c>
      <c r="H17" s="123">
        <v>0</v>
      </c>
      <c r="I17" s="123">
        <v>37629</v>
      </c>
      <c r="J17" s="123">
        <v>0</v>
      </c>
      <c r="K17" s="123">
        <v>37428</v>
      </c>
      <c r="L17" s="123">
        <v>6489</v>
      </c>
      <c r="M17" s="123">
        <v>6280</v>
      </c>
      <c r="N17" s="123" t="s">
        <v>436</v>
      </c>
      <c r="O17" s="123">
        <v>6014</v>
      </c>
      <c r="P17" s="123">
        <v>5663</v>
      </c>
      <c r="Q17" s="123" t="s">
        <v>437</v>
      </c>
      <c r="R17" s="123">
        <v>12503</v>
      </c>
      <c r="S17" s="126">
        <v>11943</v>
      </c>
      <c r="T17" s="126">
        <v>95.52</v>
      </c>
      <c r="U17" s="123">
        <v>1342</v>
      </c>
      <c r="V17" s="123">
        <v>449</v>
      </c>
      <c r="W17" s="123">
        <v>39</v>
      </c>
      <c r="X17" s="123">
        <v>1830</v>
      </c>
      <c r="Y17" s="123" t="s">
        <v>438</v>
      </c>
      <c r="Z17" s="123">
        <v>1148</v>
      </c>
      <c r="AA17" s="123">
        <v>514</v>
      </c>
      <c r="AB17" s="123">
        <v>16</v>
      </c>
      <c r="AC17" s="123">
        <v>1678</v>
      </c>
      <c r="AD17" s="123" t="s">
        <v>439</v>
      </c>
      <c r="AE17" s="126">
        <v>3508</v>
      </c>
      <c r="AF17" s="126">
        <v>29.37</v>
      </c>
      <c r="AG17" s="123">
        <v>3445</v>
      </c>
      <c r="AH17" s="123" t="s">
        <v>440</v>
      </c>
    </row>
    <row r="18" spans="1:34" ht="28.8" x14ac:dyDescent="0.3">
      <c r="A18" s="123">
        <v>12</v>
      </c>
      <c r="B18" s="123" t="s">
        <v>287</v>
      </c>
      <c r="C18" s="123">
        <v>36266</v>
      </c>
      <c r="D18" s="123">
        <v>36266</v>
      </c>
      <c r="E18" s="123">
        <v>100</v>
      </c>
      <c r="F18" s="126">
        <v>36250</v>
      </c>
      <c r="G18" s="126">
        <v>99.96</v>
      </c>
      <c r="H18" s="123">
        <v>0</v>
      </c>
      <c r="I18" s="123">
        <v>36266</v>
      </c>
      <c r="J18" s="123">
        <v>0</v>
      </c>
      <c r="K18" s="123">
        <v>36250</v>
      </c>
      <c r="L18" s="123">
        <v>6708</v>
      </c>
      <c r="M18" s="123">
        <v>6043</v>
      </c>
      <c r="N18" s="123" t="s">
        <v>441</v>
      </c>
      <c r="O18" s="123">
        <v>6398</v>
      </c>
      <c r="P18" s="123">
        <v>6346</v>
      </c>
      <c r="Q18" s="123" t="s">
        <v>442</v>
      </c>
      <c r="R18" s="123">
        <v>13106</v>
      </c>
      <c r="S18" s="126">
        <v>12389</v>
      </c>
      <c r="T18" s="126">
        <v>94.53</v>
      </c>
      <c r="U18" s="123">
        <v>317</v>
      </c>
      <c r="V18" s="123">
        <v>288</v>
      </c>
      <c r="W18" s="123">
        <v>32</v>
      </c>
      <c r="X18" s="123">
        <v>637</v>
      </c>
      <c r="Y18" s="123" t="s">
        <v>443</v>
      </c>
      <c r="Z18" s="123">
        <v>311</v>
      </c>
      <c r="AA18" s="123">
        <v>235</v>
      </c>
      <c r="AB18" s="123">
        <v>58</v>
      </c>
      <c r="AC18" s="123">
        <v>604</v>
      </c>
      <c r="AD18" s="123" t="s">
        <v>444</v>
      </c>
      <c r="AE18" s="126">
        <v>1241</v>
      </c>
      <c r="AF18" s="126">
        <v>10.02</v>
      </c>
      <c r="AG18" s="123">
        <v>1241</v>
      </c>
      <c r="AH18" s="123">
        <v>100</v>
      </c>
    </row>
    <row r="19" spans="1:34" ht="28.8" x14ac:dyDescent="0.3">
      <c r="A19" s="123">
        <v>13</v>
      </c>
      <c r="B19" s="123" t="s">
        <v>288</v>
      </c>
      <c r="C19" s="123">
        <v>34403</v>
      </c>
      <c r="D19" s="123">
        <v>32059</v>
      </c>
      <c r="E19" s="123" t="s">
        <v>445</v>
      </c>
      <c r="F19" s="126">
        <v>33685</v>
      </c>
      <c r="G19" s="126">
        <v>97.91</v>
      </c>
      <c r="H19" s="123">
        <v>676</v>
      </c>
      <c r="I19" s="123">
        <v>32059</v>
      </c>
      <c r="J19" s="123">
        <v>2376</v>
      </c>
      <c r="K19" s="123">
        <v>33685</v>
      </c>
      <c r="L19" s="123">
        <v>6564</v>
      </c>
      <c r="M19" s="123">
        <v>6427</v>
      </c>
      <c r="N19" s="123" t="s">
        <v>446</v>
      </c>
      <c r="O19" s="123">
        <v>5544</v>
      </c>
      <c r="P19" s="123">
        <v>5306</v>
      </c>
      <c r="Q19" s="123" t="s">
        <v>447</v>
      </c>
      <c r="R19" s="123">
        <v>12108</v>
      </c>
      <c r="S19" s="126">
        <v>11733</v>
      </c>
      <c r="T19" s="126">
        <v>96.9</v>
      </c>
      <c r="U19" s="123">
        <v>578</v>
      </c>
      <c r="V19" s="123">
        <v>293</v>
      </c>
      <c r="W19" s="123">
        <v>9</v>
      </c>
      <c r="X19" s="123">
        <v>880</v>
      </c>
      <c r="Y19" s="123" t="s">
        <v>448</v>
      </c>
      <c r="Z19" s="123">
        <v>432</v>
      </c>
      <c r="AA19" s="123">
        <v>268</v>
      </c>
      <c r="AB19" s="123">
        <v>6</v>
      </c>
      <c r="AC19" s="123">
        <v>706</v>
      </c>
      <c r="AD19" s="123" t="s">
        <v>449</v>
      </c>
      <c r="AE19" s="126">
        <v>1586</v>
      </c>
      <c r="AF19" s="126">
        <v>13.52</v>
      </c>
      <c r="AG19" s="123">
        <v>1561</v>
      </c>
      <c r="AH19" s="123" t="s">
        <v>408</v>
      </c>
    </row>
    <row r="20" spans="1:34" ht="28.8" x14ac:dyDescent="0.3">
      <c r="A20" s="123">
        <v>14</v>
      </c>
      <c r="B20" s="123" t="s">
        <v>289</v>
      </c>
      <c r="C20" s="123">
        <v>47121</v>
      </c>
      <c r="D20" s="123">
        <v>40462</v>
      </c>
      <c r="E20" s="123" t="s">
        <v>450</v>
      </c>
      <c r="F20" s="126">
        <v>40106</v>
      </c>
      <c r="G20" s="126">
        <v>85.11</v>
      </c>
      <c r="H20" s="123">
        <v>6485</v>
      </c>
      <c r="I20" s="123">
        <v>40462</v>
      </c>
      <c r="J20" s="123">
        <v>6731</v>
      </c>
      <c r="K20" s="123">
        <v>40106</v>
      </c>
      <c r="L20" s="123">
        <v>12580</v>
      </c>
      <c r="M20" s="123">
        <v>11472</v>
      </c>
      <c r="N20" s="123" t="s">
        <v>451</v>
      </c>
      <c r="O20" s="123">
        <v>11597</v>
      </c>
      <c r="P20" s="123">
        <v>9884</v>
      </c>
      <c r="Q20" s="123" t="s">
        <v>452</v>
      </c>
      <c r="R20" s="123">
        <v>24177</v>
      </c>
      <c r="S20" s="126">
        <v>21356</v>
      </c>
      <c r="T20" s="126">
        <v>88.33</v>
      </c>
      <c r="U20" s="123">
        <v>530</v>
      </c>
      <c r="V20" s="123">
        <v>273</v>
      </c>
      <c r="W20" s="123">
        <v>13</v>
      </c>
      <c r="X20" s="123">
        <v>816</v>
      </c>
      <c r="Y20" s="123" t="s">
        <v>453</v>
      </c>
      <c r="Z20" s="123">
        <v>589</v>
      </c>
      <c r="AA20" s="123">
        <v>312</v>
      </c>
      <c r="AB20" s="123">
        <v>31</v>
      </c>
      <c r="AC20" s="123">
        <v>932</v>
      </c>
      <c r="AD20" s="123" t="s">
        <v>454</v>
      </c>
      <c r="AE20" s="126">
        <v>1748</v>
      </c>
      <c r="AF20" s="126">
        <v>8.19</v>
      </c>
      <c r="AG20" s="123">
        <v>1516</v>
      </c>
      <c r="AH20" s="123" t="s">
        <v>455</v>
      </c>
    </row>
    <row r="21" spans="1:34" ht="28.8" x14ac:dyDescent="0.3">
      <c r="A21" s="123">
        <v>15</v>
      </c>
      <c r="B21" s="123" t="s">
        <v>290</v>
      </c>
      <c r="C21" s="123">
        <v>63226</v>
      </c>
      <c r="D21" s="123">
        <v>43132</v>
      </c>
      <c r="E21" s="123" t="s">
        <v>456</v>
      </c>
      <c r="F21" s="126">
        <v>41661</v>
      </c>
      <c r="G21" s="126">
        <v>65.89</v>
      </c>
      <c r="H21" s="123">
        <v>15930</v>
      </c>
      <c r="I21" s="123">
        <v>43132</v>
      </c>
      <c r="J21" s="123">
        <v>14451</v>
      </c>
      <c r="K21" s="123">
        <v>41661</v>
      </c>
      <c r="L21" s="123">
        <v>15301</v>
      </c>
      <c r="M21" s="123">
        <v>14505</v>
      </c>
      <c r="N21" s="123" t="s">
        <v>457</v>
      </c>
      <c r="O21" s="123">
        <v>13676</v>
      </c>
      <c r="P21" s="123">
        <v>13075</v>
      </c>
      <c r="Q21" s="123" t="s">
        <v>458</v>
      </c>
      <c r="R21" s="123">
        <v>28977</v>
      </c>
      <c r="S21" s="126">
        <v>27580</v>
      </c>
      <c r="T21" s="126">
        <v>95.18</v>
      </c>
      <c r="U21" s="123">
        <v>1247</v>
      </c>
      <c r="V21" s="123">
        <v>414</v>
      </c>
      <c r="W21" s="123">
        <v>134</v>
      </c>
      <c r="X21" s="123">
        <v>1795</v>
      </c>
      <c r="Y21" s="123" t="s">
        <v>459</v>
      </c>
      <c r="Z21" s="123">
        <v>543</v>
      </c>
      <c r="AA21" s="123">
        <v>243</v>
      </c>
      <c r="AB21" s="123">
        <v>41</v>
      </c>
      <c r="AC21" s="123">
        <v>827</v>
      </c>
      <c r="AD21" s="123" t="s">
        <v>460</v>
      </c>
      <c r="AE21" s="126">
        <v>2622</v>
      </c>
      <c r="AF21" s="126">
        <v>9.51</v>
      </c>
      <c r="AG21" s="123">
        <v>2553</v>
      </c>
      <c r="AH21" s="123" t="s">
        <v>461</v>
      </c>
    </row>
    <row r="22" spans="1:34" x14ac:dyDescent="0.3">
      <c r="A22" s="123">
        <v>16</v>
      </c>
      <c r="B22" s="123" t="s">
        <v>291</v>
      </c>
      <c r="C22" s="123">
        <v>34592</v>
      </c>
      <c r="D22" s="123">
        <v>34592</v>
      </c>
      <c r="E22" s="123">
        <v>100</v>
      </c>
      <c r="F22" s="126">
        <v>34592</v>
      </c>
      <c r="G22" s="126">
        <v>100</v>
      </c>
      <c r="H22" s="123">
        <v>0</v>
      </c>
      <c r="I22" s="123">
        <v>34592</v>
      </c>
      <c r="J22" s="123">
        <v>0</v>
      </c>
      <c r="K22" s="123">
        <v>34592</v>
      </c>
      <c r="L22" s="123">
        <v>5955</v>
      </c>
      <c r="M22" s="123">
        <v>5946</v>
      </c>
      <c r="N22" s="123" t="s">
        <v>462</v>
      </c>
      <c r="O22" s="123">
        <v>6470</v>
      </c>
      <c r="P22" s="123">
        <v>6470</v>
      </c>
      <c r="Q22" s="123">
        <v>100</v>
      </c>
      <c r="R22" s="123">
        <v>12425</v>
      </c>
      <c r="S22" s="126">
        <v>12416</v>
      </c>
      <c r="T22" s="126">
        <v>99.93</v>
      </c>
      <c r="U22" s="123">
        <v>651</v>
      </c>
      <c r="V22" s="123">
        <v>304</v>
      </c>
      <c r="W22" s="123">
        <v>6</v>
      </c>
      <c r="X22" s="123">
        <v>961</v>
      </c>
      <c r="Y22" s="123" t="s">
        <v>463</v>
      </c>
      <c r="Z22" s="123">
        <v>523</v>
      </c>
      <c r="AA22" s="123">
        <v>184</v>
      </c>
      <c r="AB22" s="123">
        <v>5</v>
      </c>
      <c r="AC22" s="123">
        <v>712</v>
      </c>
      <c r="AD22" s="123">
        <v>11</v>
      </c>
      <c r="AE22" s="126">
        <v>1673</v>
      </c>
      <c r="AF22" s="126">
        <v>13.47</v>
      </c>
      <c r="AG22" s="123">
        <v>1639</v>
      </c>
      <c r="AH22" s="123" t="s">
        <v>464</v>
      </c>
    </row>
    <row r="23" spans="1:34" ht="28.8" x14ac:dyDescent="0.3">
      <c r="A23" s="123">
        <v>17</v>
      </c>
      <c r="B23" s="123" t="s">
        <v>292</v>
      </c>
      <c r="C23" s="123">
        <v>29071</v>
      </c>
      <c r="D23" s="123">
        <v>29071</v>
      </c>
      <c r="E23" s="123">
        <v>100</v>
      </c>
      <c r="F23" s="126">
        <v>29071</v>
      </c>
      <c r="G23" s="126">
        <v>100</v>
      </c>
      <c r="H23" s="123">
        <v>0</v>
      </c>
      <c r="I23" s="123">
        <v>29071</v>
      </c>
      <c r="J23" s="123">
        <v>0</v>
      </c>
      <c r="K23" s="123">
        <v>29071</v>
      </c>
      <c r="L23" s="123">
        <v>5071</v>
      </c>
      <c r="M23" s="123">
        <v>5071</v>
      </c>
      <c r="N23" s="123">
        <v>100</v>
      </c>
      <c r="O23" s="123">
        <v>4989</v>
      </c>
      <c r="P23" s="123">
        <v>4989</v>
      </c>
      <c r="Q23" s="123">
        <v>100</v>
      </c>
      <c r="R23" s="123">
        <v>10060</v>
      </c>
      <c r="S23" s="126">
        <v>10060</v>
      </c>
      <c r="T23" s="126">
        <v>100</v>
      </c>
      <c r="U23" s="123">
        <v>287</v>
      </c>
      <c r="V23" s="123">
        <v>220</v>
      </c>
      <c r="W23" s="123">
        <v>18</v>
      </c>
      <c r="X23" s="123">
        <v>525</v>
      </c>
      <c r="Y23" s="123" t="s">
        <v>465</v>
      </c>
      <c r="Z23" s="123">
        <v>246</v>
      </c>
      <c r="AA23" s="123">
        <v>322</v>
      </c>
      <c r="AB23" s="123">
        <v>13</v>
      </c>
      <c r="AC23" s="123">
        <v>581</v>
      </c>
      <c r="AD23" s="123" t="s">
        <v>466</v>
      </c>
      <c r="AE23" s="126">
        <v>1106</v>
      </c>
      <c r="AF23" s="126">
        <v>10.99</v>
      </c>
      <c r="AG23" s="123">
        <v>1106</v>
      </c>
      <c r="AH23" s="123">
        <v>100</v>
      </c>
    </row>
    <row r="24" spans="1:34" x14ac:dyDescent="0.3">
      <c r="A24" s="123">
        <v>18</v>
      </c>
      <c r="B24" s="123" t="s">
        <v>294</v>
      </c>
      <c r="C24" s="123">
        <v>61667</v>
      </c>
      <c r="D24" s="123">
        <v>46825</v>
      </c>
      <c r="E24" s="123" t="s">
        <v>467</v>
      </c>
      <c r="F24" s="126">
        <v>46788</v>
      </c>
      <c r="G24" s="126">
        <v>75.87</v>
      </c>
      <c r="H24" s="123">
        <v>4332</v>
      </c>
      <c r="I24" s="123">
        <v>46825</v>
      </c>
      <c r="J24" s="123">
        <v>4332</v>
      </c>
      <c r="K24" s="123">
        <v>46788</v>
      </c>
      <c r="L24" s="123">
        <v>11108</v>
      </c>
      <c r="M24" s="123">
        <v>8960</v>
      </c>
      <c r="N24" s="123" t="s">
        <v>468</v>
      </c>
      <c r="O24" s="123">
        <v>10929</v>
      </c>
      <c r="P24" s="123">
        <v>8052</v>
      </c>
      <c r="Q24" s="123" t="s">
        <v>469</v>
      </c>
      <c r="R24" s="123">
        <v>22037</v>
      </c>
      <c r="S24" s="126">
        <v>17012</v>
      </c>
      <c r="T24" s="126">
        <v>77.2</v>
      </c>
      <c r="U24" s="123">
        <v>500</v>
      </c>
      <c r="V24" s="123">
        <v>214</v>
      </c>
      <c r="W24" s="123">
        <v>23</v>
      </c>
      <c r="X24" s="123">
        <v>737</v>
      </c>
      <c r="Y24" s="123" t="s">
        <v>470</v>
      </c>
      <c r="Z24" s="123">
        <v>352</v>
      </c>
      <c r="AA24" s="123">
        <v>165</v>
      </c>
      <c r="AB24" s="123">
        <v>26</v>
      </c>
      <c r="AC24" s="123">
        <v>543</v>
      </c>
      <c r="AD24" s="123" t="s">
        <v>471</v>
      </c>
      <c r="AE24" s="126">
        <v>1280</v>
      </c>
      <c r="AF24" s="126">
        <v>7.52</v>
      </c>
      <c r="AG24" s="123">
        <v>1161</v>
      </c>
      <c r="AH24" s="123" t="s">
        <v>472</v>
      </c>
    </row>
    <row r="25" spans="1:34" x14ac:dyDescent="0.3">
      <c r="A25" s="123">
        <v>19</v>
      </c>
      <c r="B25" s="123" t="s">
        <v>295</v>
      </c>
      <c r="C25" s="123">
        <v>47621</v>
      </c>
      <c r="D25" s="123">
        <v>43102</v>
      </c>
      <c r="E25" s="123" t="s">
        <v>473</v>
      </c>
      <c r="F25" s="126">
        <v>43371</v>
      </c>
      <c r="G25" s="126">
        <v>91.08</v>
      </c>
      <c r="H25" s="123">
        <v>667</v>
      </c>
      <c r="I25" s="123">
        <v>43102</v>
      </c>
      <c r="J25" s="123">
        <v>916</v>
      </c>
      <c r="K25" s="123">
        <v>43371</v>
      </c>
      <c r="L25" s="123">
        <v>9181</v>
      </c>
      <c r="M25" s="123">
        <v>8955</v>
      </c>
      <c r="N25" s="123" t="s">
        <v>474</v>
      </c>
      <c r="O25" s="123">
        <v>9373</v>
      </c>
      <c r="P25" s="123">
        <v>9021</v>
      </c>
      <c r="Q25" s="123" t="s">
        <v>475</v>
      </c>
      <c r="R25" s="123">
        <v>18554</v>
      </c>
      <c r="S25" s="126">
        <v>17976</v>
      </c>
      <c r="T25" s="126">
        <v>96.88</v>
      </c>
      <c r="U25" s="123">
        <v>664</v>
      </c>
      <c r="V25" s="123">
        <v>508</v>
      </c>
      <c r="W25" s="123">
        <v>24</v>
      </c>
      <c r="X25" s="123">
        <v>1196</v>
      </c>
      <c r="Y25" s="123" t="s">
        <v>476</v>
      </c>
      <c r="Z25" s="123">
        <v>617</v>
      </c>
      <c r="AA25" s="123">
        <v>454</v>
      </c>
      <c r="AB25" s="123">
        <v>26</v>
      </c>
      <c r="AC25" s="123">
        <v>1097</v>
      </c>
      <c r="AD25" s="123" t="s">
        <v>477</v>
      </c>
      <c r="AE25" s="126">
        <v>2293</v>
      </c>
      <c r="AF25" s="126">
        <v>12.76</v>
      </c>
      <c r="AG25" s="123">
        <v>2247</v>
      </c>
      <c r="AH25" s="123" t="s">
        <v>478</v>
      </c>
    </row>
    <row r="26" spans="1:34" x14ac:dyDescent="0.3">
      <c r="A26" s="123">
        <v>20</v>
      </c>
      <c r="B26" s="123" t="s">
        <v>296</v>
      </c>
      <c r="C26" s="123">
        <v>55288</v>
      </c>
      <c r="D26" s="123">
        <v>52331</v>
      </c>
      <c r="E26" s="123" t="s">
        <v>479</v>
      </c>
      <c r="F26" s="126">
        <v>50064</v>
      </c>
      <c r="G26" s="126">
        <v>90.55</v>
      </c>
      <c r="H26" s="123">
        <v>267</v>
      </c>
      <c r="I26" s="123">
        <v>52331</v>
      </c>
      <c r="J26" s="123">
        <v>1246</v>
      </c>
      <c r="K26" s="123">
        <v>50064</v>
      </c>
      <c r="L26" s="123">
        <v>10037</v>
      </c>
      <c r="M26" s="123">
        <v>9184</v>
      </c>
      <c r="N26" s="123" t="s">
        <v>480</v>
      </c>
      <c r="O26" s="123">
        <v>9237</v>
      </c>
      <c r="P26" s="123">
        <v>8293</v>
      </c>
      <c r="Q26" s="123" t="s">
        <v>481</v>
      </c>
      <c r="R26" s="123">
        <v>19274</v>
      </c>
      <c r="S26" s="126">
        <v>17477</v>
      </c>
      <c r="T26" s="126">
        <v>90.68</v>
      </c>
      <c r="U26" s="123">
        <v>1065</v>
      </c>
      <c r="V26" s="123">
        <v>372</v>
      </c>
      <c r="W26" s="123">
        <v>31</v>
      </c>
      <c r="X26" s="123">
        <v>1468</v>
      </c>
      <c r="Y26" s="123" t="s">
        <v>482</v>
      </c>
      <c r="Z26" s="123">
        <v>1035</v>
      </c>
      <c r="AA26" s="123">
        <v>409</v>
      </c>
      <c r="AB26" s="123">
        <v>35</v>
      </c>
      <c r="AC26" s="123">
        <v>1479</v>
      </c>
      <c r="AD26" s="123" t="s">
        <v>483</v>
      </c>
      <c r="AE26" s="126">
        <v>2947</v>
      </c>
      <c r="AF26" s="126">
        <v>16.86</v>
      </c>
      <c r="AG26" s="123">
        <v>2750</v>
      </c>
      <c r="AH26" s="123" t="s">
        <v>484</v>
      </c>
    </row>
    <row r="27" spans="1:34" x14ac:dyDescent="0.3">
      <c r="A27" s="123">
        <v>21</v>
      </c>
      <c r="B27" s="123" t="s">
        <v>299</v>
      </c>
      <c r="C27" s="123">
        <v>51257</v>
      </c>
      <c r="D27" s="123">
        <v>51237</v>
      </c>
      <c r="E27" s="123" t="s">
        <v>485</v>
      </c>
      <c r="F27" s="126">
        <v>51237</v>
      </c>
      <c r="G27" s="126">
        <v>99.96</v>
      </c>
      <c r="H27" s="123">
        <v>0</v>
      </c>
      <c r="I27" s="123">
        <v>51237</v>
      </c>
      <c r="J27" s="123">
        <v>0</v>
      </c>
      <c r="K27" s="123">
        <v>51237</v>
      </c>
      <c r="L27" s="123">
        <v>11474</v>
      </c>
      <c r="M27" s="123">
        <v>11292</v>
      </c>
      <c r="N27" s="123" t="s">
        <v>486</v>
      </c>
      <c r="O27" s="123">
        <v>10594</v>
      </c>
      <c r="P27" s="123">
        <v>10572</v>
      </c>
      <c r="Q27" s="123" t="s">
        <v>412</v>
      </c>
      <c r="R27" s="123">
        <v>22068</v>
      </c>
      <c r="S27" s="126">
        <v>21864</v>
      </c>
      <c r="T27" s="126">
        <v>99.08</v>
      </c>
      <c r="U27" s="123">
        <v>874</v>
      </c>
      <c r="V27" s="123">
        <v>201</v>
      </c>
      <c r="W27" s="123">
        <v>49</v>
      </c>
      <c r="X27" s="123">
        <v>1124</v>
      </c>
      <c r="Y27" s="123" t="s">
        <v>487</v>
      </c>
      <c r="Z27" s="123">
        <v>711</v>
      </c>
      <c r="AA27" s="123">
        <v>110</v>
      </c>
      <c r="AB27" s="123">
        <v>54</v>
      </c>
      <c r="AC27" s="123">
        <v>875</v>
      </c>
      <c r="AD27" s="123" t="s">
        <v>488</v>
      </c>
      <c r="AE27" s="126">
        <v>1999</v>
      </c>
      <c r="AF27" s="126">
        <v>9.14</v>
      </c>
      <c r="AG27" s="123">
        <v>1916</v>
      </c>
      <c r="AH27" s="123" t="s">
        <v>489</v>
      </c>
    </row>
    <row r="28" spans="1:34" ht="28.8" x14ac:dyDescent="0.3">
      <c r="A28" s="123">
        <v>22</v>
      </c>
      <c r="B28" s="123" t="s">
        <v>301</v>
      </c>
      <c r="C28" s="123">
        <v>40812</v>
      </c>
      <c r="D28" s="123">
        <v>38022</v>
      </c>
      <c r="E28" s="123" t="s">
        <v>490</v>
      </c>
      <c r="F28" s="126">
        <v>37867</v>
      </c>
      <c r="G28" s="126">
        <v>92.78</v>
      </c>
      <c r="H28" s="123">
        <v>6163</v>
      </c>
      <c r="I28" s="123">
        <v>38022</v>
      </c>
      <c r="J28" s="123">
        <v>6164</v>
      </c>
      <c r="K28" s="123">
        <v>37867</v>
      </c>
      <c r="L28" s="123">
        <v>7247</v>
      </c>
      <c r="M28" s="123">
        <v>6776</v>
      </c>
      <c r="N28" s="123" t="s">
        <v>491</v>
      </c>
      <c r="O28" s="123">
        <v>6278</v>
      </c>
      <c r="P28" s="123">
        <v>5698</v>
      </c>
      <c r="Q28" s="123" t="s">
        <v>492</v>
      </c>
      <c r="R28" s="123">
        <v>13525</v>
      </c>
      <c r="S28" s="126">
        <v>12474</v>
      </c>
      <c r="T28" s="126">
        <v>92.23</v>
      </c>
      <c r="U28" s="123">
        <v>897</v>
      </c>
      <c r="V28" s="123">
        <v>656</v>
      </c>
      <c r="W28" s="123">
        <v>38</v>
      </c>
      <c r="X28" s="123">
        <v>1591</v>
      </c>
      <c r="Y28" s="123" t="s">
        <v>493</v>
      </c>
      <c r="Z28" s="123">
        <v>791</v>
      </c>
      <c r="AA28" s="123">
        <v>497</v>
      </c>
      <c r="AB28" s="123">
        <v>20</v>
      </c>
      <c r="AC28" s="123">
        <v>1308</v>
      </c>
      <c r="AD28" s="123" t="s">
        <v>494</v>
      </c>
      <c r="AE28" s="126">
        <v>2899</v>
      </c>
      <c r="AF28" s="126">
        <v>23.24</v>
      </c>
      <c r="AG28" s="123">
        <v>2755</v>
      </c>
      <c r="AH28" s="123" t="s">
        <v>495</v>
      </c>
    </row>
    <row r="29" spans="1:34" ht="28.8" x14ac:dyDescent="0.3">
      <c r="A29" s="123">
        <v>23</v>
      </c>
      <c r="B29" s="123" t="s">
        <v>302</v>
      </c>
      <c r="C29" s="123">
        <v>32138</v>
      </c>
      <c r="D29" s="123">
        <v>32114</v>
      </c>
      <c r="E29" s="123" t="s">
        <v>496</v>
      </c>
      <c r="F29" s="126">
        <v>32109</v>
      </c>
      <c r="G29" s="126">
        <v>99.91</v>
      </c>
      <c r="H29" s="123">
        <v>0</v>
      </c>
      <c r="I29" s="123">
        <v>32114</v>
      </c>
      <c r="J29" s="123">
        <v>0</v>
      </c>
      <c r="K29" s="123">
        <v>32109</v>
      </c>
      <c r="L29" s="123">
        <v>6062</v>
      </c>
      <c r="M29" s="123">
        <v>5798</v>
      </c>
      <c r="N29" s="123" t="s">
        <v>497</v>
      </c>
      <c r="O29" s="123">
        <v>5666</v>
      </c>
      <c r="P29" s="123">
        <v>5435</v>
      </c>
      <c r="Q29" s="123" t="s">
        <v>498</v>
      </c>
      <c r="R29" s="123">
        <v>11728</v>
      </c>
      <c r="S29" s="126">
        <v>11233</v>
      </c>
      <c r="T29" s="126">
        <v>95.78</v>
      </c>
      <c r="U29" s="123">
        <v>518</v>
      </c>
      <c r="V29" s="123">
        <v>165</v>
      </c>
      <c r="W29" s="123">
        <v>2</v>
      </c>
      <c r="X29" s="123">
        <v>685</v>
      </c>
      <c r="Y29" s="123" t="s">
        <v>499</v>
      </c>
      <c r="Z29" s="123">
        <v>494</v>
      </c>
      <c r="AA29" s="123">
        <v>106</v>
      </c>
      <c r="AB29" s="123">
        <v>7</v>
      </c>
      <c r="AC29" s="123">
        <v>607</v>
      </c>
      <c r="AD29" s="123" t="s">
        <v>500</v>
      </c>
      <c r="AE29" s="126">
        <v>1292</v>
      </c>
      <c r="AF29" s="126">
        <v>11.5</v>
      </c>
      <c r="AG29" s="123">
        <v>1292</v>
      </c>
      <c r="AH29" s="123">
        <v>100</v>
      </c>
    </row>
    <row r="30" spans="1:34" ht="28.8" x14ac:dyDescent="0.3">
      <c r="A30" s="123">
        <v>24</v>
      </c>
      <c r="B30" s="123" t="s">
        <v>303</v>
      </c>
      <c r="C30" s="123">
        <v>47482</v>
      </c>
      <c r="D30" s="123">
        <v>44996</v>
      </c>
      <c r="E30" s="123" t="s">
        <v>501</v>
      </c>
      <c r="F30" s="126">
        <v>44576</v>
      </c>
      <c r="G30" s="126">
        <v>93.88</v>
      </c>
      <c r="H30" s="123">
        <v>11539</v>
      </c>
      <c r="I30" s="123">
        <v>44996</v>
      </c>
      <c r="J30" s="123">
        <v>11539</v>
      </c>
      <c r="K30" s="123">
        <v>44576</v>
      </c>
      <c r="L30" s="123">
        <v>12420</v>
      </c>
      <c r="M30" s="123">
        <v>11536</v>
      </c>
      <c r="N30" s="123" t="s">
        <v>502</v>
      </c>
      <c r="O30" s="123">
        <v>10077</v>
      </c>
      <c r="P30" s="123">
        <v>9576</v>
      </c>
      <c r="Q30" s="123" t="s">
        <v>495</v>
      </c>
      <c r="R30" s="123">
        <v>22497</v>
      </c>
      <c r="S30" s="126">
        <v>21112</v>
      </c>
      <c r="T30" s="126">
        <v>93.84</v>
      </c>
      <c r="U30" s="123">
        <v>1458</v>
      </c>
      <c r="V30" s="123">
        <v>1006</v>
      </c>
      <c r="W30" s="123">
        <v>43</v>
      </c>
      <c r="X30" s="123">
        <v>2507</v>
      </c>
      <c r="Y30" s="123" t="s">
        <v>503</v>
      </c>
      <c r="Z30" s="123">
        <v>1220</v>
      </c>
      <c r="AA30" s="123">
        <v>705</v>
      </c>
      <c r="AB30" s="123">
        <v>64</v>
      </c>
      <c r="AC30" s="123">
        <v>1989</v>
      </c>
      <c r="AD30" s="123" t="s">
        <v>504</v>
      </c>
      <c r="AE30" s="126">
        <v>4496</v>
      </c>
      <c r="AF30" s="126">
        <v>21.3</v>
      </c>
      <c r="AG30" s="123">
        <v>3980</v>
      </c>
      <c r="AH30" s="123" t="s">
        <v>505</v>
      </c>
    </row>
    <row r="31" spans="1:34" ht="28.8" x14ac:dyDescent="0.3">
      <c r="A31" s="123">
        <v>25</v>
      </c>
      <c r="B31" s="123" t="s">
        <v>304</v>
      </c>
      <c r="C31" s="123">
        <v>30763</v>
      </c>
      <c r="D31" s="123">
        <v>29301</v>
      </c>
      <c r="E31" s="123" t="s">
        <v>506</v>
      </c>
      <c r="F31" s="126">
        <v>29274</v>
      </c>
      <c r="G31" s="126">
        <v>95.16</v>
      </c>
      <c r="H31" s="123">
        <v>5</v>
      </c>
      <c r="I31" s="123">
        <v>29301</v>
      </c>
      <c r="J31" s="123">
        <v>32</v>
      </c>
      <c r="K31" s="123">
        <v>29274</v>
      </c>
      <c r="L31" s="123">
        <v>6155</v>
      </c>
      <c r="M31" s="123">
        <v>6033</v>
      </c>
      <c r="N31" s="123" t="s">
        <v>507</v>
      </c>
      <c r="O31" s="123">
        <v>4549</v>
      </c>
      <c r="P31" s="123">
        <v>4543</v>
      </c>
      <c r="Q31" s="123" t="s">
        <v>508</v>
      </c>
      <c r="R31" s="123">
        <v>10704</v>
      </c>
      <c r="S31" s="126">
        <v>10576</v>
      </c>
      <c r="T31" s="126">
        <v>98.8</v>
      </c>
      <c r="U31" s="123">
        <v>273</v>
      </c>
      <c r="V31" s="123">
        <v>131</v>
      </c>
      <c r="W31" s="123">
        <v>22</v>
      </c>
      <c r="X31" s="123">
        <v>426</v>
      </c>
      <c r="Y31" s="123" t="s">
        <v>509</v>
      </c>
      <c r="Z31" s="123">
        <v>131</v>
      </c>
      <c r="AA31" s="123">
        <v>44</v>
      </c>
      <c r="AB31" s="123">
        <v>9</v>
      </c>
      <c r="AC31" s="123">
        <v>184</v>
      </c>
      <c r="AD31" s="123" t="s">
        <v>510</v>
      </c>
      <c r="AE31" s="126">
        <v>610</v>
      </c>
      <c r="AF31" s="126">
        <v>5.77</v>
      </c>
      <c r="AG31" s="123">
        <v>600</v>
      </c>
      <c r="AH31" s="123" t="s">
        <v>511</v>
      </c>
    </row>
    <row r="32" spans="1:34" ht="28.8" x14ac:dyDescent="0.3">
      <c r="A32" s="123">
        <v>26</v>
      </c>
      <c r="B32" s="123" t="s">
        <v>305</v>
      </c>
      <c r="C32" s="123">
        <v>38910</v>
      </c>
      <c r="D32" s="123">
        <v>35883</v>
      </c>
      <c r="E32" s="123" t="s">
        <v>512</v>
      </c>
      <c r="F32" s="126">
        <v>35803</v>
      </c>
      <c r="G32" s="126">
        <v>92.01</v>
      </c>
      <c r="H32" s="123">
        <v>5095</v>
      </c>
      <c r="I32" s="123">
        <v>35883</v>
      </c>
      <c r="J32" s="123">
        <v>5018</v>
      </c>
      <c r="K32" s="123">
        <v>35803</v>
      </c>
      <c r="L32" s="123">
        <v>7367</v>
      </c>
      <c r="M32" s="123">
        <v>7313</v>
      </c>
      <c r="N32" s="123" t="s">
        <v>513</v>
      </c>
      <c r="O32" s="123">
        <v>6724</v>
      </c>
      <c r="P32" s="123">
        <v>6667</v>
      </c>
      <c r="Q32" s="123" t="s">
        <v>514</v>
      </c>
      <c r="R32" s="123">
        <v>14091</v>
      </c>
      <c r="S32" s="126">
        <v>13980</v>
      </c>
      <c r="T32" s="126">
        <v>99.21</v>
      </c>
      <c r="U32" s="123">
        <v>864</v>
      </c>
      <c r="V32" s="123">
        <v>462</v>
      </c>
      <c r="W32" s="123">
        <v>52</v>
      </c>
      <c r="X32" s="123">
        <v>1378</v>
      </c>
      <c r="Y32" s="123" t="s">
        <v>515</v>
      </c>
      <c r="Z32" s="123">
        <v>708</v>
      </c>
      <c r="AA32" s="123">
        <v>422</v>
      </c>
      <c r="AB32" s="123">
        <v>20</v>
      </c>
      <c r="AC32" s="123">
        <v>1150</v>
      </c>
      <c r="AD32" s="123" t="s">
        <v>516</v>
      </c>
      <c r="AE32" s="126">
        <v>2528</v>
      </c>
      <c r="AF32" s="126">
        <v>18.079999999999998</v>
      </c>
      <c r="AG32" s="123">
        <v>2506</v>
      </c>
      <c r="AH32" s="123" t="s">
        <v>517</v>
      </c>
    </row>
    <row r="33" spans="1:34" ht="28.8" x14ac:dyDescent="0.3">
      <c r="A33" s="123">
        <v>27</v>
      </c>
      <c r="B33" s="123" t="s">
        <v>306</v>
      </c>
      <c r="C33" s="123">
        <v>58131</v>
      </c>
      <c r="D33" s="123">
        <v>58042</v>
      </c>
      <c r="E33" s="123" t="s">
        <v>462</v>
      </c>
      <c r="F33" s="126">
        <v>57975</v>
      </c>
      <c r="G33" s="126">
        <v>99.73</v>
      </c>
      <c r="H33" s="123">
        <v>9495</v>
      </c>
      <c r="I33" s="123">
        <v>58042</v>
      </c>
      <c r="J33" s="123">
        <v>9495</v>
      </c>
      <c r="K33" s="123">
        <v>57975</v>
      </c>
      <c r="L33" s="123">
        <v>13008</v>
      </c>
      <c r="M33" s="123">
        <v>12481</v>
      </c>
      <c r="N33" s="123" t="s">
        <v>518</v>
      </c>
      <c r="O33" s="123">
        <v>12128</v>
      </c>
      <c r="P33" s="123">
        <v>11211</v>
      </c>
      <c r="Q33" s="123" t="s">
        <v>519</v>
      </c>
      <c r="R33" s="123">
        <v>25136</v>
      </c>
      <c r="S33" s="126">
        <v>23692</v>
      </c>
      <c r="T33" s="126">
        <v>94.26</v>
      </c>
      <c r="U33" s="123">
        <v>700</v>
      </c>
      <c r="V33" s="123">
        <v>323</v>
      </c>
      <c r="W33" s="123">
        <v>43</v>
      </c>
      <c r="X33" s="123">
        <v>1066</v>
      </c>
      <c r="Y33" s="123" t="s">
        <v>520</v>
      </c>
      <c r="Z33" s="123">
        <v>560</v>
      </c>
      <c r="AA33" s="123">
        <v>287</v>
      </c>
      <c r="AB33" s="123">
        <v>39</v>
      </c>
      <c r="AC33" s="123">
        <v>886</v>
      </c>
      <c r="AD33" s="123" t="s">
        <v>521</v>
      </c>
      <c r="AE33" s="126">
        <v>1952</v>
      </c>
      <c r="AF33" s="126">
        <v>8.24</v>
      </c>
      <c r="AG33" s="123">
        <v>1591</v>
      </c>
      <c r="AH33" s="123" t="s">
        <v>522</v>
      </c>
    </row>
    <row r="34" spans="1:34" x14ac:dyDescent="0.3">
      <c r="A34" s="123">
        <v>28</v>
      </c>
      <c r="B34" s="123" t="s">
        <v>308</v>
      </c>
      <c r="C34" s="123">
        <v>61661</v>
      </c>
      <c r="D34" s="123">
        <v>61616</v>
      </c>
      <c r="E34" s="123" t="s">
        <v>496</v>
      </c>
      <c r="F34" s="126">
        <v>61514</v>
      </c>
      <c r="G34" s="126">
        <v>99.76</v>
      </c>
      <c r="H34" s="123">
        <v>421</v>
      </c>
      <c r="I34" s="123">
        <v>61616</v>
      </c>
      <c r="J34" s="123">
        <v>678</v>
      </c>
      <c r="K34" s="123">
        <v>61514</v>
      </c>
      <c r="L34" s="123">
        <v>12146</v>
      </c>
      <c r="M34" s="123">
        <v>11889</v>
      </c>
      <c r="N34" s="123" t="s">
        <v>523</v>
      </c>
      <c r="O34" s="123">
        <v>10319</v>
      </c>
      <c r="P34" s="123">
        <v>10111</v>
      </c>
      <c r="Q34" s="123" t="s">
        <v>524</v>
      </c>
      <c r="R34" s="123">
        <v>22465</v>
      </c>
      <c r="S34" s="126">
        <v>22000</v>
      </c>
      <c r="T34" s="126">
        <v>97.93</v>
      </c>
      <c r="U34" s="123">
        <v>1428</v>
      </c>
      <c r="V34" s="123">
        <v>806</v>
      </c>
      <c r="W34" s="123">
        <v>48</v>
      </c>
      <c r="X34" s="123">
        <v>2282</v>
      </c>
      <c r="Y34" s="123" t="s">
        <v>525</v>
      </c>
      <c r="Z34" s="123">
        <v>972</v>
      </c>
      <c r="AA34" s="123">
        <v>594</v>
      </c>
      <c r="AB34" s="123">
        <v>56</v>
      </c>
      <c r="AC34" s="123">
        <v>1622</v>
      </c>
      <c r="AD34" s="123" t="s">
        <v>526</v>
      </c>
      <c r="AE34" s="126">
        <v>3904</v>
      </c>
      <c r="AF34" s="126">
        <v>17.75</v>
      </c>
      <c r="AG34" s="123">
        <v>3895</v>
      </c>
      <c r="AH34" s="123" t="s">
        <v>527</v>
      </c>
    </row>
    <row r="35" spans="1:34" ht="28.8" x14ac:dyDescent="0.3">
      <c r="A35" s="123">
        <v>29</v>
      </c>
      <c r="B35" s="123" t="s">
        <v>309</v>
      </c>
      <c r="C35" s="123">
        <v>91835</v>
      </c>
      <c r="D35" s="123">
        <v>84445</v>
      </c>
      <c r="E35" s="123" t="s">
        <v>528</v>
      </c>
      <c r="F35" s="126">
        <v>79834</v>
      </c>
      <c r="G35" s="126">
        <v>86.93</v>
      </c>
      <c r="H35" s="123">
        <v>962</v>
      </c>
      <c r="I35" s="123">
        <v>84445</v>
      </c>
      <c r="J35" s="123">
        <v>1825</v>
      </c>
      <c r="K35" s="123">
        <v>79834</v>
      </c>
      <c r="L35" s="123">
        <v>26118</v>
      </c>
      <c r="M35" s="123">
        <v>25477</v>
      </c>
      <c r="N35" s="123" t="s">
        <v>529</v>
      </c>
      <c r="O35" s="123">
        <v>21136</v>
      </c>
      <c r="P35" s="123">
        <v>20552</v>
      </c>
      <c r="Q35" s="123" t="s">
        <v>530</v>
      </c>
      <c r="R35" s="123">
        <v>47254</v>
      </c>
      <c r="S35" s="126">
        <v>46029</v>
      </c>
      <c r="T35" s="126">
        <v>97.41</v>
      </c>
      <c r="U35" s="123">
        <v>1792</v>
      </c>
      <c r="V35" s="123">
        <v>477</v>
      </c>
      <c r="W35" s="123">
        <v>13</v>
      </c>
      <c r="X35" s="123">
        <v>2282</v>
      </c>
      <c r="Y35" s="123" t="s">
        <v>531</v>
      </c>
      <c r="Z35" s="123">
        <v>935</v>
      </c>
      <c r="AA35" s="123">
        <v>304</v>
      </c>
      <c r="AB35" s="123">
        <v>10</v>
      </c>
      <c r="AC35" s="123">
        <v>1249</v>
      </c>
      <c r="AD35" s="123" t="s">
        <v>532</v>
      </c>
      <c r="AE35" s="126">
        <v>3531</v>
      </c>
      <c r="AF35" s="126">
        <v>7.67</v>
      </c>
      <c r="AG35" s="123">
        <v>3043</v>
      </c>
      <c r="AH35" s="123" t="s">
        <v>533</v>
      </c>
    </row>
    <row r="36" spans="1:34" x14ac:dyDescent="0.3">
      <c r="A36" s="123">
        <v>30</v>
      </c>
      <c r="B36" s="123" t="s">
        <v>4</v>
      </c>
      <c r="C36" s="123">
        <v>13400</v>
      </c>
      <c r="D36" s="123">
        <v>13059</v>
      </c>
      <c r="E36" s="123" t="s">
        <v>534</v>
      </c>
      <c r="F36" s="126">
        <v>13059</v>
      </c>
      <c r="G36" s="126">
        <v>97.46</v>
      </c>
      <c r="H36" s="123">
        <v>206</v>
      </c>
      <c r="I36" s="123">
        <v>13059</v>
      </c>
      <c r="J36" s="123">
        <v>206</v>
      </c>
      <c r="K36" s="123">
        <v>13059</v>
      </c>
      <c r="L36" s="123">
        <v>2219</v>
      </c>
      <c r="M36" s="123">
        <v>2206</v>
      </c>
      <c r="N36" s="123" t="s">
        <v>535</v>
      </c>
      <c r="O36" s="123">
        <v>3422</v>
      </c>
      <c r="P36" s="123">
        <v>3361</v>
      </c>
      <c r="Q36" s="123" t="s">
        <v>536</v>
      </c>
      <c r="R36" s="123">
        <v>5641</v>
      </c>
      <c r="S36" s="126">
        <v>5567</v>
      </c>
      <c r="T36" s="126">
        <v>98.69</v>
      </c>
      <c r="U36" s="123">
        <v>176</v>
      </c>
      <c r="V36" s="123">
        <v>73</v>
      </c>
      <c r="W36" s="123">
        <v>8</v>
      </c>
      <c r="X36" s="123">
        <v>257</v>
      </c>
      <c r="Y36" s="123" t="s">
        <v>466</v>
      </c>
      <c r="Z36" s="123">
        <v>235</v>
      </c>
      <c r="AA36" s="123">
        <v>123</v>
      </c>
      <c r="AB36" s="123">
        <v>10</v>
      </c>
      <c r="AC36" s="123">
        <v>368</v>
      </c>
      <c r="AD36" s="123" t="s">
        <v>537</v>
      </c>
      <c r="AE36" s="126">
        <v>625</v>
      </c>
      <c r="AF36" s="126">
        <v>11.23</v>
      </c>
      <c r="AG36" s="123">
        <v>625</v>
      </c>
      <c r="AH36" s="123">
        <v>100</v>
      </c>
    </row>
    <row r="37" spans="1:34" x14ac:dyDescent="0.3">
      <c r="A37" s="123">
        <v>31</v>
      </c>
      <c r="B37" s="123" t="s">
        <v>5</v>
      </c>
      <c r="C37" s="123">
        <v>42897</v>
      </c>
      <c r="D37" s="123">
        <v>42895</v>
      </c>
      <c r="E37" s="123">
        <v>100</v>
      </c>
      <c r="F37" s="126">
        <v>41904</v>
      </c>
      <c r="G37" s="126">
        <v>97.69</v>
      </c>
      <c r="H37" s="123">
        <v>0</v>
      </c>
      <c r="I37" s="123">
        <v>42895</v>
      </c>
      <c r="J37" s="123">
        <v>0</v>
      </c>
      <c r="K37" s="123">
        <v>41904</v>
      </c>
      <c r="L37" s="123">
        <v>7274</v>
      </c>
      <c r="M37" s="123">
        <v>2003</v>
      </c>
      <c r="N37" s="123" t="s">
        <v>538</v>
      </c>
      <c r="O37" s="123">
        <v>8103</v>
      </c>
      <c r="P37" s="123">
        <v>4286</v>
      </c>
      <c r="Q37" s="123" t="s">
        <v>539</v>
      </c>
      <c r="R37" s="123">
        <v>15377</v>
      </c>
      <c r="S37" s="126">
        <v>6289</v>
      </c>
      <c r="T37" s="126">
        <v>40.9</v>
      </c>
      <c r="U37" s="123">
        <v>143</v>
      </c>
      <c r="V37" s="123">
        <v>50</v>
      </c>
      <c r="W37" s="123">
        <v>4</v>
      </c>
      <c r="X37" s="123">
        <v>197</v>
      </c>
      <c r="Y37" s="123" t="s">
        <v>540</v>
      </c>
      <c r="Z37" s="123">
        <v>510</v>
      </c>
      <c r="AA37" s="123">
        <v>140</v>
      </c>
      <c r="AB37" s="123">
        <v>17</v>
      </c>
      <c r="AC37" s="123">
        <v>667</v>
      </c>
      <c r="AD37" s="123" t="s">
        <v>541</v>
      </c>
      <c r="AE37" s="126">
        <v>864</v>
      </c>
      <c r="AF37" s="126">
        <v>13.74</v>
      </c>
      <c r="AG37" s="123">
        <v>798</v>
      </c>
      <c r="AH37" s="123" t="s">
        <v>542</v>
      </c>
    </row>
    <row r="38" spans="1:34" x14ac:dyDescent="0.3">
      <c r="A38" s="123">
        <v>32</v>
      </c>
      <c r="B38" s="123" t="s">
        <v>6</v>
      </c>
      <c r="C38" s="123">
        <v>13678</v>
      </c>
      <c r="D38" s="123">
        <v>13678</v>
      </c>
      <c r="E38" s="123">
        <v>100</v>
      </c>
      <c r="F38" s="126">
        <v>13640</v>
      </c>
      <c r="G38" s="126">
        <v>99.72</v>
      </c>
      <c r="H38" s="123">
        <v>0</v>
      </c>
      <c r="I38" s="123">
        <v>13678</v>
      </c>
      <c r="J38" s="123">
        <v>0</v>
      </c>
      <c r="K38" s="123">
        <v>13640</v>
      </c>
      <c r="L38" s="123">
        <v>2227</v>
      </c>
      <c r="M38" s="123">
        <v>2186</v>
      </c>
      <c r="N38" s="123" t="s">
        <v>543</v>
      </c>
      <c r="O38" s="123">
        <v>2624</v>
      </c>
      <c r="P38" s="123">
        <v>2581</v>
      </c>
      <c r="Q38" s="123" t="s">
        <v>511</v>
      </c>
      <c r="R38" s="123">
        <v>4851</v>
      </c>
      <c r="S38" s="126">
        <v>4767</v>
      </c>
      <c r="T38" s="126">
        <v>98.27</v>
      </c>
      <c r="U38" s="123">
        <v>180</v>
      </c>
      <c r="V38" s="123">
        <v>92</v>
      </c>
      <c r="W38" s="123">
        <v>3</v>
      </c>
      <c r="X38" s="123">
        <v>275</v>
      </c>
      <c r="Y38" s="123" t="s">
        <v>544</v>
      </c>
      <c r="Z38" s="123">
        <v>162</v>
      </c>
      <c r="AA38" s="123">
        <v>127</v>
      </c>
      <c r="AB38" s="123">
        <v>5</v>
      </c>
      <c r="AC38" s="123">
        <v>294</v>
      </c>
      <c r="AD38" s="123" t="s">
        <v>545</v>
      </c>
      <c r="AE38" s="126">
        <v>569</v>
      </c>
      <c r="AF38" s="126">
        <v>11.94</v>
      </c>
      <c r="AG38" s="123">
        <v>569</v>
      </c>
      <c r="AH38" s="123">
        <v>100</v>
      </c>
    </row>
    <row r="39" spans="1:34" x14ac:dyDescent="0.3">
      <c r="A39" s="123">
        <v>33</v>
      </c>
      <c r="B39" s="123" t="s">
        <v>7</v>
      </c>
      <c r="C39" s="123">
        <v>73823</v>
      </c>
      <c r="D39" s="123">
        <v>72961</v>
      </c>
      <c r="E39" s="123" t="s">
        <v>546</v>
      </c>
      <c r="F39" s="126">
        <v>72961</v>
      </c>
      <c r="G39" s="126">
        <v>98.83</v>
      </c>
      <c r="H39" s="123">
        <v>196</v>
      </c>
      <c r="I39" s="123">
        <v>72961</v>
      </c>
      <c r="J39" s="123">
        <v>196</v>
      </c>
      <c r="K39" s="123">
        <v>72961</v>
      </c>
      <c r="L39" s="123">
        <v>14743</v>
      </c>
      <c r="M39" s="123">
        <v>13669</v>
      </c>
      <c r="N39" s="123" t="s">
        <v>547</v>
      </c>
      <c r="O39" s="123">
        <v>17391</v>
      </c>
      <c r="P39" s="123">
        <v>16748</v>
      </c>
      <c r="Q39" s="123" t="s">
        <v>548</v>
      </c>
      <c r="R39" s="123">
        <v>32134</v>
      </c>
      <c r="S39" s="126">
        <v>30417</v>
      </c>
      <c r="T39" s="126">
        <v>94.66</v>
      </c>
      <c r="U39" s="123">
        <v>755</v>
      </c>
      <c r="V39" s="123">
        <v>297</v>
      </c>
      <c r="W39" s="123">
        <v>7</v>
      </c>
      <c r="X39" s="123">
        <v>1059</v>
      </c>
      <c r="Y39" s="123" t="s">
        <v>549</v>
      </c>
      <c r="Z39" s="123">
        <v>808</v>
      </c>
      <c r="AA39" s="123">
        <v>339</v>
      </c>
      <c r="AB39" s="123">
        <v>4</v>
      </c>
      <c r="AC39" s="123">
        <v>1151</v>
      </c>
      <c r="AD39" s="123" t="s">
        <v>550</v>
      </c>
      <c r="AE39" s="126">
        <v>2210</v>
      </c>
      <c r="AF39" s="126">
        <v>7.27</v>
      </c>
      <c r="AG39" s="123">
        <v>2115</v>
      </c>
      <c r="AH39" s="123" t="s">
        <v>551</v>
      </c>
    </row>
    <row r="40" spans="1:34" x14ac:dyDescent="0.3">
      <c r="A40" s="123">
        <v>34</v>
      </c>
      <c r="B40" s="123" t="s">
        <v>8</v>
      </c>
      <c r="C40" s="123">
        <v>17008</v>
      </c>
      <c r="D40" s="123">
        <v>17008</v>
      </c>
      <c r="E40" s="123">
        <v>100</v>
      </c>
      <c r="F40" s="126">
        <v>16839</v>
      </c>
      <c r="G40" s="126">
        <v>99.01</v>
      </c>
      <c r="H40" s="123">
        <v>539</v>
      </c>
      <c r="I40" s="123">
        <v>17008</v>
      </c>
      <c r="J40" s="123">
        <v>539</v>
      </c>
      <c r="K40" s="123">
        <v>16839</v>
      </c>
      <c r="L40" s="123">
        <v>2450</v>
      </c>
      <c r="M40" s="123">
        <v>2428</v>
      </c>
      <c r="N40" s="123" t="s">
        <v>552</v>
      </c>
      <c r="O40" s="123">
        <v>2843</v>
      </c>
      <c r="P40" s="123">
        <v>2833</v>
      </c>
      <c r="Q40" s="123" t="s">
        <v>395</v>
      </c>
      <c r="R40" s="123">
        <v>5293</v>
      </c>
      <c r="S40" s="126">
        <v>5261</v>
      </c>
      <c r="T40" s="126">
        <v>99.4</v>
      </c>
      <c r="U40" s="123">
        <v>212</v>
      </c>
      <c r="V40" s="123">
        <v>136</v>
      </c>
      <c r="W40" s="123">
        <v>16</v>
      </c>
      <c r="X40" s="123">
        <v>364</v>
      </c>
      <c r="Y40" s="123" t="s">
        <v>553</v>
      </c>
      <c r="Z40" s="123">
        <v>502</v>
      </c>
      <c r="AA40" s="123">
        <v>268</v>
      </c>
      <c r="AB40" s="123">
        <v>33</v>
      </c>
      <c r="AC40" s="123">
        <v>803</v>
      </c>
      <c r="AD40" s="123" t="s">
        <v>554</v>
      </c>
      <c r="AE40" s="126">
        <v>1167</v>
      </c>
      <c r="AF40" s="126">
        <v>22.18</v>
      </c>
      <c r="AG40" s="123">
        <v>1167</v>
      </c>
      <c r="AH40" s="123">
        <v>100</v>
      </c>
    </row>
    <row r="41" spans="1:34" x14ac:dyDescent="0.3">
      <c r="A41" s="123">
        <v>35</v>
      </c>
      <c r="B41" s="123" t="s">
        <v>9</v>
      </c>
      <c r="C41" s="123">
        <v>12409</v>
      </c>
      <c r="D41" s="123">
        <v>12409</v>
      </c>
      <c r="E41" s="123">
        <v>100</v>
      </c>
      <c r="F41" s="126">
        <v>12156</v>
      </c>
      <c r="G41" s="126">
        <v>97.96</v>
      </c>
      <c r="H41" s="123">
        <v>0</v>
      </c>
      <c r="I41" s="123">
        <v>12409</v>
      </c>
      <c r="J41" s="123">
        <v>273</v>
      </c>
      <c r="K41" s="123">
        <v>12156</v>
      </c>
      <c r="L41" s="123">
        <v>2571</v>
      </c>
      <c r="M41" s="123">
        <v>2554</v>
      </c>
      <c r="N41" s="123" t="s">
        <v>400</v>
      </c>
      <c r="O41" s="123">
        <v>2892</v>
      </c>
      <c r="P41" s="123">
        <v>2821</v>
      </c>
      <c r="Q41" s="123" t="s">
        <v>474</v>
      </c>
      <c r="R41" s="123">
        <v>5463</v>
      </c>
      <c r="S41" s="126">
        <v>5375</v>
      </c>
      <c r="T41" s="126">
        <v>98.39</v>
      </c>
      <c r="U41" s="123">
        <v>653</v>
      </c>
      <c r="V41" s="123">
        <v>31</v>
      </c>
      <c r="W41" s="123">
        <v>0</v>
      </c>
      <c r="X41" s="123">
        <v>684</v>
      </c>
      <c r="Y41" s="123" t="s">
        <v>555</v>
      </c>
      <c r="Z41" s="123">
        <v>674</v>
      </c>
      <c r="AA41" s="123">
        <v>43</v>
      </c>
      <c r="AB41" s="123">
        <v>0</v>
      </c>
      <c r="AC41" s="123">
        <v>717</v>
      </c>
      <c r="AD41" s="123" t="s">
        <v>556</v>
      </c>
      <c r="AE41" s="126">
        <v>1401</v>
      </c>
      <c r="AF41" s="126">
        <v>26.07</v>
      </c>
      <c r="AG41" s="123">
        <v>1401</v>
      </c>
      <c r="AH41" s="123">
        <v>100</v>
      </c>
    </row>
    <row r="42" spans="1:34" x14ac:dyDescent="0.3">
      <c r="A42" s="211" t="s">
        <v>312</v>
      </c>
      <c r="B42" s="211"/>
      <c r="C42" s="123">
        <v>1584754</v>
      </c>
      <c r="D42" s="123">
        <v>1495494</v>
      </c>
      <c r="E42" s="123" t="s">
        <v>557</v>
      </c>
      <c r="F42" s="126">
        <v>1483925</v>
      </c>
      <c r="G42" s="126">
        <v>93.64</v>
      </c>
      <c r="H42" s="123">
        <v>106628</v>
      </c>
      <c r="I42" s="123">
        <v>1495494</v>
      </c>
      <c r="J42" s="123">
        <v>105966</v>
      </c>
      <c r="K42" s="123">
        <v>1483925</v>
      </c>
      <c r="L42" s="123">
        <v>318417</v>
      </c>
      <c r="M42" s="123">
        <v>298733</v>
      </c>
      <c r="N42" s="123" t="s">
        <v>558</v>
      </c>
      <c r="O42" s="123">
        <v>300148</v>
      </c>
      <c r="P42" s="123">
        <v>281262</v>
      </c>
      <c r="Q42" s="123" t="s">
        <v>559</v>
      </c>
      <c r="R42" s="123">
        <v>618565</v>
      </c>
      <c r="S42" s="126">
        <v>579995</v>
      </c>
      <c r="T42" s="126">
        <v>93.76</v>
      </c>
      <c r="U42" s="123">
        <v>30256</v>
      </c>
      <c r="V42" s="123">
        <v>15146</v>
      </c>
      <c r="W42" s="123">
        <v>1010</v>
      </c>
      <c r="X42" s="123">
        <v>46412</v>
      </c>
      <c r="Y42" s="123" t="s">
        <v>560</v>
      </c>
      <c r="Z42" s="123">
        <v>26490</v>
      </c>
      <c r="AA42" s="123">
        <v>14379</v>
      </c>
      <c r="AB42" s="123">
        <v>921</v>
      </c>
      <c r="AC42" s="123">
        <v>41790</v>
      </c>
      <c r="AD42" s="123" t="s">
        <v>561</v>
      </c>
      <c r="AE42" s="126">
        <v>88202</v>
      </c>
      <c r="AF42" s="126">
        <v>15.21</v>
      </c>
      <c r="AG42" s="123">
        <v>84291</v>
      </c>
      <c r="AH42" s="123" t="s">
        <v>562</v>
      </c>
    </row>
  </sheetData>
  <mergeCells count="31">
    <mergeCell ref="AF4:AF5"/>
    <mergeCell ref="AG4:AG5"/>
    <mergeCell ref="AH4:AH5"/>
    <mergeCell ref="A42:B42"/>
    <mergeCell ref="S4:S5"/>
    <mergeCell ref="T4:T5"/>
    <mergeCell ref="U4:X4"/>
    <mergeCell ref="Y4:Y5"/>
    <mergeCell ref="Z4:AC4"/>
    <mergeCell ref="AD4:AD5"/>
    <mergeCell ref="A3:A5"/>
    <mergeCell ref="B3:B5"/>
    <mergeCell ref="C3:C5"/>
    <mergeCell ref="R4:R5"/>
    <mergeCell ref="AG3:AH3"/>
    <mergeCell ref="U3:AF3"/>
    <mergeCell ref="O4:O5"/>
    <mergeCell ref="P4:P5"/>
    <mergeCell ref="Q4:Q5"/>
    <mergeCell ref="J4:K4"/>
    <mergeCell ref="L4:L5"/>
    <mergeCell ref="M4:M5"/>
    <mergeCell ref="N4:N5"/>
    <mergeCell ref="D3:K3"/>
    <mergeCell ref="L3:T3"/>
    <mergeCell ref="D4:D5"/>
    <mergeCell ref="E4:E5"/>
    <mergeCell ref="F4:F5"/>
    <mergeCell ref="G4:G5"/>
    <mergeCell ref="H4:I4"/>
    <mergeCell ref="AE4:AE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BF9F7-19AB-4459-84E8-4283BA3CE102}">
  <dimension ref="A1:L40"/>
  <sheetViews>
    <sheetView workbookViewId="0">
      <selection activeCell="J3" sqref="J3:L38"/>
    </sheetView>
  </sheetViews>
  <sheetFormatPr defaultRowHeight="14.4" x14ac:dyDescent="0.3"/>
  <cols>
    <col min="1" max="1" width="5.21875" customWidth="1"/>
    <col min="2" max="2" width="19.21875" customWidth="1"/>
    <col min="3" max="3" width="13.21875" customWidth="1"/>
    <col min="5" max="5" width="5.21875" customWidth="1"/>
    <col min="6" max="6" width="19.21875" customWidth="1"/>
    <col min="7" max="7" width="13.21875" customWidth="1"/>
    <col min="10" max="10" width="5.21875" customWidth="1"/>
    <col min="11" max="11" width="19.21875" customWidth="1"/>
    <col min="12" max="12" width="11.33203125" customWidth="1"/>
  </cols>
  <sheetData>
    <row r="1" spans="1:12" x14ac:dyDescent="0.3">
      <c r="A1" s="154" t="s">
        <v>0</v>
      </c>
      <c r="B1" s="154"/>
      <c r="C1" s="154"/>
    </row>
    <row r="2" spans="1:12" x14ac:dyDescent="0.3">
      <c r="A2" s="153" t="s">
        <v>76</v>
      </c>
      <c r="B2" s="154"/>
      <c r="C2" s="154"/>
    </row>
    <row r="3" spans="1:12" ht="48.45" customHeight="1" thickBot="1" x14ac:dyDescent="0.35">
      <c r="A3" s="51" t="s">
        <v>1</v>
      </c>
      <c r="B3" s="51" t="s">
        <v>2</v>
      </c>
      <c r="C3" s="53" t="s">
        <v>105</v>
      </c>
      <c r="E3" s="51" t="s">
        <v>1</v>
      </c>
      <c r="F3" s="51" t="s">
        <v>2</v>
      </c>
      <c r="G3" s="53" t="s">
        <v>106</v>
      </c>
      <c r="J3" s="51" t="s">
        <v>1</v>
      </c>
      <c r="K3" s="51" t="s">
        <v>2</v>
      </c>
      <c r="L3" s="53" t="s">
        <v>107</v>
      </c>
    </row>
    <row r="4" spans="1:12" ht="15" thickTop="1" x14ac:dyDescent="0.3">
      <c r="A4" s="44">
        <v>15</v>
      </c>
      <c r="B4" s="45" t="s">
        <v>61</v>
      </c>
      <c r="C4" s="45">
        <v>55.1</v>
      </c>
      <c r="E4" s="44">
        <v>31</v>
      </c>
      <c r="F4" s="45" t="s">
        <v>5</v>
      </c>
      <c r="G4" s="45">
        <v>40.9</v>
      </c>
      <c r="J4" s="44">
        <v>25</v>
      </c>
      <c r="K4" s="45" t="s">
        <v>71</v>
      </c>
      <c r="L4" s="47">
        <v>5.75</v>
      </c>
    </row>
    <row r="5" spans="1:12" x14ac:dyDescent="0.3">
      <c r="A5" s="25">
        <v>18</v>
      </c>
      <c r="B5" s="14" t="s">
        <v>64</v>
      </c>
      <c r="C5" s="14">
        <v>75.87</v>
      </c>
      <c r="E5" s="25">
        <v>33</v>
      </c>
      <c r="F5" s="14" t="s">
        <v>7</v>
      </c>
      <c r="G5" s="14">
        <v>75.17</v>
      </c>
      <c r="J5" s="25">
        <v>33</v>
      </c>
      <c r="K5" s="14" t="s">
        <v>7</v>
      </c>
      <c r="L5" s="17">
        <v>6.37</v>
      </c>
    </row>
    <row r="6" spans="1:12" x14ac:dyDescent="0.3">
      <c r="A6" s="25">
        <v>29</v>
      </c>
      <c r="B6" s="14" t="s">
        <v>75</v>
      </c>
      <c r="C6" s="14">
        <v>83.05</v>
      </c>
      <c r="E6" s="25">
        <v>18</v>
      </c>
      <c r="F6" s="14" t="s">
        <v>64</v>
      </c>
      <c r="G6" s="14">
        <v>77.400000000000006</v>
      </c>
      <c r="J6" s="25">
        <v>29</v>
      </c>
      <c r="K6" s="14" t="s">
        <v>75</v>
      </c>
      <c r="L6" s="17">
        <v>6.7</v>
      </c>
    </row>
    <row r="7" spans="1:12" x14ac:dyDescent="0.3">
      <c r="A7" s="25">
        <v>32</v>
      </c>
      <c r="B7" s="14" t="s">
        <v>6</v>
      </c>
      <c r="C7" s="14">
        <v>83.16</v>
      </c>
      <c r="E7" s="25">
        <v>5</v>
      </c>
      <c r="F7" s="14" t="s">
        <v>51</v>
      </c>
      <c r="G7" s="14">
        <v>83.88</v>
      </c>
      <c r="J7" s="25">
        <v>15</v>
      </c>
      <c r="K7" s="14" t="s">
        <v>61</v>
      </c>
      <c r="L7" s="17">
        <v>7.08</v>
      </c>
    </row>
    <row r="8" spans="1:12" x14ac:dyDescent="0.3">
      <c r="A8" s="25">
        <v>14</v>
      </c>
      <c r="B8" s="14" t="s">
        <v>60</v>
      </c>
      <c r="C8" s="14">
        <v>83.37</v>
      </c>
      <c r="E8" s="25">
        <v>8</v>
      </c>
      <c r="F8" s="14" t="s">
        <v>54</v>
      </c>
      <c r="G8" s="14">
        <v>86.54</v>
      </c>
      <c r="J8" s="25">
        <v>18</v>
      </c>
      <c r="K8" s="14" t="s">
        <v>64</v>
      </c>
      <c r="L8" s="17">
        <v>7.52</v>
      </c>
    </row>
    <row r="9" spans="1:12" x14ac:dyDescent="0.3">
      <c r="A9" s="25">
        <v>8</v>
      </c>
      <c r="B9" s="14" t="s">
        <v>54</v>
      </c>
      <c r="C9" s="14">
        <v>85.81</v>
      </c>
      <c r="E9" s="25">
        <v>14</v>
      </c>
      <c r="F9" s="14" t="s">
        <v>60</v>
      </c>
      <c r="G9" s="14">
        <v>88.33</v>
      </c>
      <c r="J9" s="25">
        <v>27</v>
      </c>
      <c r="K9" s="14" t="s">
        <v>73</v>
      </c>
      <c r="L9" s="17">
        <v>8.24</v>
      </c>
    </row>
    <row r="10" spans="1:12" x14ac:dyDescent="0.3">
      <c r="A10" s="25">
        <v>5</v>
      </c>
      <c r="B10" s="14" t="s">
        <v>51</v>
      </c>
      <c r="C10" s="14">
        <v>86.01</v>
      </c>
      <c r="E10" s="25">
        <v>1</v>
      </c>
      <c r="F10" s="14" t="s">
        <v>48</v>
      </c>
      <c r="G10" s="14">
        <v>89.76</v>
      </c>
      <c r="J10" s="25">
        <v>14</v>
      </c>
      <c r="K10" s="14" t="s">
        <v>60</v>
      </c>
      <c r="L10" s="17">
        <v>8.6999999999999993</v>
      </c>
    </row>
    <row r="11" spans="1:12" x14ac:dyDescent="0.3">
      <c r="A11" s="25">
        <v>6</v>
      </c>
      <c r="B11" s="14" t="s">
        <v>52</v>
      </c>
      <c r="C11" s="14">
        <v>87.45</v>
      </c>
      <c r="E11" s="25">
        <v>20</v>
      </c>
      <c r="F11" s="14" t="s">
        <v>66</v>
      </c>
      <c r="G11" s="14">
        <v>90.68</v>
      </c>
      <c r="J11" s="25">
        <v>21</v>
      </c>
      <c r="K11" s="14" t="s">
        <v>67</v>
      </c>
      <c r="L11" s="17">
        <v>9.14</v>
      </c>
    </row>
    <row r="12" spans="1:12" x14ac:dyDescent="0.3">
      <c r="A12" s="25">
        <v>33</v>
      </c>
      <c r="B12" s="14" t="s">
        <v>7</v>
      </c>
      <c r="C12" s="14">
        <v>90.51</v>
      </c>
      <c r="E12" s="25">
        <v>22</v>
      </c>
      <c r="F12" s="14" t="s">
        <v>68</v>
      </c>
      <c r="G12" s="14">
        <v>91.07</v>
      </c>
      <c r="J12" s="25">
        <v>12</v>
      </c>
      <c r="K12" s="14" t="s">
        <v>58</v>
      </c>
      <c r="L12" s="17">
        <v>10.02</v>
      </c>
    </row>
    <row r="13" spans="1:12" x14ac:dyDescent="0.3">
      <c r="A13" s="25">
        <v>20</v>
      </c>
      <c r="B13" s="14" t="s">
        <v>66</v>
      </c>
      <c r="C13" s="14">
        <v>90.55</v>
      </c>
      <c r="E13" s="25">
        <v>4</v>
      </c>
      <c r="F13" s="14" t="s">
        <v>50</v>
      </c>
      <c r="G13" s="14">
        <v>93.03</v>
      </c>
      <c r="J13" s="25">
        <v>17</v>
      </c>
      <c r="K13" s="14" t="s">
        <v>63</v>
      </c>
      <c r="L13" s="17">
        <v>11</v>
      </c>
    </row>
    <row r="14" spans="1:12" x14ac:dyDescent="0.3">
      <c r="A14" s="25">
        <v>19</v>
      </c>
      <c r="B14" s="14" t="s">
        <v>65</v>
      </c>
      <c r="C14" s="14">
        <v>91.08</v>
      </c>
      <c r="E14" s="25">
        <v>24</v>
      </c>
      <c r="F14" s="14" t="s">
        <v>70</v>
      </c>
      <c r="G14" s="14">
        <v>93.84</v>
      </c>
      <c r="J14" s="25">
        <v>30</v>
      </c>
      <c r="K14" s="14" t="s">
        <v>4</v>
      </c>
      <c r="L14" s="17">
        <v>11.23</v>
      </c>
    </row>
    <row r="15" spans="1:12" x14ac:dyDescent="0.3">
      <c r="A15" s="25">
        <v>26</v>
      </c>
      <c r="B15" s="14" t="s">
        <v>72</v>
      </c>
      <c r="C15" s="14">
        <v>92.01</v>
      </c>
      <c r="E15" s="25">
        <v>27</v>
      </c>
      <c r="F15" s="14" t="s">
        <v>73</v>
      </c>
      <c r="G15" s="14">
        <v>94.27</v>
      </c>
      <c r="J15" s="25">
        <v>1</v>
      </c>
      <c r="K15" s="14" t="s">
        <v>48</v>
      </c>
      <c r="L15" s="17">
        <v>11.33</v>
      </c>
    </row>
    <row r="16" spans="1:12" x14ac:dyDescent="0.3">
      <c r="A16" s="25">
        <v>22</v>
      </c>
      <c r="B16" s="14" t="s">
        <v>68</v>
      </c>
      <c r="C16" s="14">
        <v>92.78</v>
      </c>
      <c r="E16" s="25">
        <v>12</v>
      </c>
      <c r="F16" s="14" t="s">
        <v>58</v>
      </c>
      <c r="G16" s="14">
        <v>94.53</v>
      </c>
      <c r="J16" s="25">
        <v>23</v>
      </c>
      <c r="K16" s="14" t="s">
        <v>69</v>
      </c>
      <c r="L16" s="17">
        <v>11.5</v>
      </c>
    </row>
    <row r="17" spans="1:12" x14ac:dyDescent="0.3">
      <c r="A17" s="25">
        <v>4</v>
      </c>
      <c r="B17" s="14" t="s">
        <v>50</v>
      </c>
      <c r="C17" s="14">
        <v>92.87</v>
      </c>
      <c r="E17" s="25">
        <v>11</v>
      </c>
      <c r="F17" s="14" t="s">
        <v>57</v>
      </c>
      <c r="G17" s="14">
        <v>95.48</v>
      </c>
      <c r="J17" s="25">
        <v>7</v>
      </c>
      <c r="K17" s="14" t="s">
        <v>53</v>
      </c>
      <c r="L17" s="17">
        <v>11.56</v>
      </c>
    </row>
    <row r="18" spans="1:12" x14ac:dyDescent="0.3">
      <c r="A18" s="25">
        <v>10</v>
      </c>
      <c r="B18" s="14" t="s">
        <v>56</v>
      </c>
      <c r="C18" s="14">
        <v>92.88</v>
      </c>
      <c r="E18" s="25">
        <v>23</v>
      </c>
      <c r="F18" s="14" t="s">
        <v>69</v>
      </c>
      <c r="G18" s="14">
        <v>95.78</v>
      </c>
      <c r="J18" s="25">
        <v>32</v>
      </c>
      <c r="K18" s="14" t="s">
        <v>6</v>
      </c>
      <c r="L18" s="17">
        <v>11.94</v>
      </c>
    </row>
    <row r="19" spans="1:12" x14ac:dyDescent="0.3">
      <c r="A19" s="25">
        <v>24</v>
      </c>
      <c r="B19" s="14" t="s">
        <v>70</v>
      </c>
      <c r="C19" s="14">
        <v>93.88</v>
      </c>
      <c r="E19" s="25">
        <v>15</v>
      </c>
      <c r="F19" s="14" t="s">
        <v>61</v>
      </c>
      <c r="G19" s="14">
        <v>96.1</v>
      </c>
      <c r="J19" s="25">
        <v>19</v>
      </c>
      <c r="K19" s="14" t="s">
        <v>65</v>
      </c>
      <c r="L19" s="17">
        <v>12.76</v>
      </c>
    </row>
    <row r="20" spans="1:12" x14ac:dyDescent="0.3">
      <c r="A20" s="25">
        <v>25</v>
      </c>
      <c r="B20" s="14" t="s">
        <v>71</v>
      </c>
      <c r="C20" s="14">
        <v>95.16</v>
      </c>
      <c r="E20" s="25">
        <v>19</v>
      </c>
      <c r="F20" s="14" t="s">
        <v>65</v>
      </c>
      <c r="G20" s="14">
        <v>96.88</v>
      </c>
      <c r="J20" s="25">
        <v>16</v>
      </c>
      <c r="K20" s="14" t="s">
        <v>62</v>
      </c>
      <c r="L20" s="17">
        <v>13.47</v>
      </c>
    </row>
    <row r="21" spans="1:12" x14ac:dyDescent="0.3">
      <c r="A21" s="25">
        <v>28</v>
      </c>
      <c r="B21" s="14" t="s">
        <v>74</v>
      </c>
      <c r="C21" s="14">
        <v>96.59</v>
      </c>
      <c r="E21" s="25">
        <v>7</v>
      </c>
      <c r="F21" s="14" t="s">
        <v>53</v>
      </c>
      <c r="G21" s="14">
        <v>97.15</v>
      </c>
      <c r="J21" s="25">
        <v>31</v>
      </c>
      <c r="K21" s="14" t="s">
        <v>5</v>
      </c>
      <c r="L21" s="17">
        <v>13.74</v>
      </c>
    </row>
    <row r="22" spans="1:12" x14ac:dyDescent="0.3">
      <c r="A22" s="25">
        <v>30</v>
      </c>
      <c r="B22" s="14" t="s">
        <v>4</v>
      </c>
      <c r="C22" s="14">
        <v>97.46</v>
      </c>
      <c r="E22" s="25">
        <v>29</v>
      </c>
      <c r="F22" s="14" t="s">
        <v>75</v>
      </c>
      <c r="G22" s="14">
        <v>97.83</v>
      </c>
      <c r="J22" s="25">
        <v>9</v>
      </c>
      <c r="K22" s="14" t="s">
        <v>55</v>
      </c>
      <c r="L22" s="17">
        <v>14.01</v>
      </c>
    </row>
    <row r="23" spans="1:12" x14ac:dyDescent="0.3">
      <c r="A23" s="25">
        <v>31</v>
      </c>
      <c r="B23" s="14" t="s">
        <v>5</v>
      </c>
      <c r="C23" s="14">
        <v>97.69</v>
      </c>
      <c r="E23" s="25">
        <v>28</v>
      </c>
      <c r="F23" s="14" t="s">
        <v>74</v>
      </c>
      <c r="G23" s="14">
        <v>98.1</v>
      </c>
      <c r="J23" s="25">
        <v>13</v>
      </c>
      <c r="K23" s="14" t="s">
        <v>59</v>
      </c>
      <c r="L23" s="17">
        <v>14.15</v>
      </c>
    </row>
    <row r="24" spans="1:12" x14ac:dyDescent="0.3">
      <c r="A24" s="25">
        <v>35</v>
      </c>
      <c r="B24" s="14" t="s">
        <v>9</v>
      </c>
      <c r="C24" s="14">
        <v>97.96</v>
      </c>
      <c r="E24" s="25">
        <v>32</v>
      </c>
      <c r="F24" s="14" t="s">
        <v>6</v>
      </c>
      <c r="G24" s="14">
        <v>98.27</v>
      </c>
      <c r="J24" s="25">
        <v>5</v>
      </c>
      <c r="K24" s="14" t="s">
        <v>51</v>
      </c>
      <c r="L24" s="17">
        <v>14.31</v>
      </c>
    </row>
    <row r="25" spans="1:12" x14ac:dyDescent="0.3">
      <c r="A25" s="25">
        <v>13</v>
      </c>
      <c r="B25" s="14" t="s">
        <v>59</v>
      </c>
      <c r="C25" s="14">
        <v>98.15</v>
      </c>
      <c r="E25" s="25">
        <v>35</v>
      </c>
      <c r="F25" s="14" t="s">
        <v>9</v>
      </c>
      <c r="G25" s="14">
        <v>98.39</v>
      </c>
      <c r="J25" s="25">
        <v>6</v>
      </c>
      <c r="K25" s="14" t="s">
        <v>52</v>
      </c>
      <c r="L25" s="17">
        <v>14.57</v>
      </c>
    </row>
    <row r="26" spans="1:12" x14ac:dyDescent="0.3">
      <c r="A26" s="25">
        <v>11</v>
      </c>
      <c r="B26" s="14" t="s">
        <v>57</v>
      </c>
      <c r="C26" s="14">
        <v>98.55</v>
      </c>
      <c r="E26" s="25">
        <v>25</v>
      </c>
      <c r="F26" s="14" t="s">
        <v>71</v>
      </c>
      <c r="G26" s="14">
        <v>98.46</v>
      </c>
      <c r="J26" s="25">
        <v>28</v>
      </c>
      <c r="K26" s="14" t="s">
        <v>74</v>
      </c>
      <c r="L26" s="17">
        <v>16.38</v>
      </c>
    </row>
    <row r="27" spans="1:12" x14ac:dyDescent="0.3">
      <c r="A27" s="25">
        <v>1</v>
      </c>
      <c r="B27" s="14" t="s">
        <v>48</v>
      </c>
      <c r="C27" s="14">
        <v>98.78</v>
      </c>
      <c r="E27" s="25">
        <v>6</v>
      </c>
      <c r="F27" s="14" t="s">
        <v>52</v>
      </c>
      <c r="G27" s="14">
        <v>98.68</v>
      </c>
      <c r="J27" s="25">
        <v>20</v>
      </c>
      <c r="K27" s="14" t="s">
        <v>66</v>
      </c>
      <c r="L27" s="17">
        <v>16.86</v>
      </c>
    </row>
    <row r="28" spans="1:12" x14ac:dyDescent="0.3">
      <c r="A28" s="25">
        <v>34</v>
      </c>
      <c r="B28" s="14" t="s">
        <v>8</v>
      </c>
      <c r="C28" s="14">
        <v>99.01</v>
      </c>
      <c r="E28" s="25">
        <v>30</v>
      </c>
      <c r="F28" s="14" t="s">
        <v>4</v>
      </c>
      <c r="G28" s="14">
        <v>98.69</v>
      </c>
      <c r="J28" s="25">
        <v>26</v>
      </c>
      <c r="K28" s="14" t="s">
        <v>72</v>
      </c>
      <c r="L28" s="17">
        <v>18.079999999999998</v>
      </c>
    </row>
    <row r="29" spans="1:12" x14ac:dyDescent="0.3">
      <c r="A29" s="25">
        <v>16</v>
      </c>
      <c r="B29" s="14" t="s">
        <v>62</v>
      </c>
      <c r="C29" s="14">
        <v>99.04</v>
      </c>
      <c r="E29" s="25">
        <v>13</v>
      </c>
      <c r="F29" s="14" t="s">
        <v>59</v>
      </c>
      <c r="G29" s="14">
        <v>98.78</v>
      </c>
      <c r="J29" s="25">
        <v>10</v>
      </c>
      <c r="K29" s="14" t="s">
        <v>56</v>
      </c>
      <c r="L29" s="17">
        <v>20.5</v>
      </c>
    </row>
    <row r="30" spans="1:12" x14ac:dyDescent="0.3">
      <c r="A30" s="25">
        <v>9</v>
      </c>
      <c r="B30" s="14" t="s">
        <v>55</v>
      </c>
      <c r="C30" s="14">
        <v>99.38</v>
      </c>
      <c r="E30" s="25">
        <v>10</v>
      </c>
      <c r="F30" s="14" t="s">
        <v>56</v>
      </c>
      <c r="G30" s="14">
        <v>99.03</v>
      </c>
      <c r="J30" s="25">
        <v>24</v>
      </c>
      <c r="K30" s="14" t="s">
        <v>70</v>
      </c>
      <c r="L30" s="17">
        <v>21.3</v>
      </c>
    </row>
    <row r="31" spans="1:12" x14ac:dyDescent="0.3">
      <c r="A31" s="25">
        <v>7</v>
      </c>
      <c r="B31" s="14" t="s">
        <v>53</v>
      </c>
      <c r="C31" s="14">
        <v>99.73</v>
      </c>
      <c r="E31" s="25">
        <v>21</v>
      </c>
      <c r="F31" s="14" t="s">
        <v>67</v>
      </c>
      <c r="G31" s="14">
        <v>99.08</v>
      </c>
      <c r="J31" s="25">
        <v>34</v>
      </c>
      <c r="K31" s="14" t="s">
        <v>8</v>
      </c>
      <c r="L31" s="17">
        <v>22.18</v>
      </c>
    </row>
    <row r="32" spans="1:12" x14ac:dyDescent="0.3">
      <c r="A32" s="25">
        <v>27</v>
      </c>
      <c r="B32" s="14" t="s">
        <v>73</v>
      </c>
      <c r="C32" s="14">
        <v>99.73</v>
      </c>
      <c r="E32" s="25">
        <v>3</v>
      </c>
      <c r="F32" s="14" t="s">
        <v>44</v>
      </c>
      <c r="G32" s="14">
        <v>99.14</v>
      </c>
      <c r="J32" s="25">
        <v>22</v>
      </c>
      <c r="K32" s="14" t="s">
        <v>68</v>
      </c>
      <c r="L32" s="17">
        <v>22.97</v>
      </c>
    </row>
    <row r="33" spans="1:12" x14ac:dyDescent="0.3">
      <c r="A33" s="25">
        <v>3</v>
      </c>
      <c r="B33" s="14" t="s">
        <v>44</v>
      </c>
      <c r="C33" s="14">
        <v>99.96</v>
      </c>
      <c r="E33" s="25">
        <v>26</v>
      </c>
      <c r="F33" s="14" t="s">
        <v>72</v>
      </c>
      <c r="G33" s="14">
        <v>99.21</v>
      </c>
      <c r="J33" s="25">
        <v>2</v>
      </c>
      <c r="K33" s="14" t="s">
        <v>49</v>
      </c>
      <c r="L33" s="17">
        <v>24.69</v>
      </c>
    </row>
    <row r="34" spans="1:12" x14ac:dyDescent="0.3">
      <c r="A34" s="25">
        <v>12</v>
      </c>
      <c r="B34" s="14" t="s">
        <v>58</v>
      </c>
      <c r="C34" s="14">
        <v>99.96</v>
      </c>
      <c r="E34" s="25">
        <v>34</v>
      </c>
      <c r="F34" s="14" t="s">
        <v>8</v>
      </c>
      <c r="G34" s="14">
        <v>99.4</v>
      </c>
      <c r="J34" s="25">
        <v>3</v>
      </c>
      <c r="K34" s="14" t="s">
        <v>44</v>
      </c>
      <c r="L34" s="17">
        <v>25.6</v>
      </c>
    </row>
    <row r="35" spans="1:12" x14ac:dyDescent="0.3">
      <c r="A35" s="25">
        <v>21</v>
      </c>
      <c r="B35" s="14" t="s">
        <v>67</v>
      </c>
      <c r="C35" s="14">
        <v>99.96</v>
      </c>
      <c r="E35" s="25">
        <v>16</v>
      </c>
      <c r="F35" s="14" t="s">
        <v>62</v>
      </c>
      <c r="G35" s="14">
        <v>99.93</v>
      </c>
      <c r="J35" s="25">
        <v>35</v>
      </c>
      <c r="K35" s="14" t="s">
        <v>9</v>
      </c>
      <c r="L35" s="17">
        <v>26.07</v>
      </c>
    </row>
    <row r="36" spans="1:12" x14ac:dyDescent="0.3">
      <c r="A36" s="25">
        <v>23</v>
      </c>
      <c r="B36" s="14" t="s">
        <v>69</v>
      </c>
      <c r="C36" s="14">
        <v>99.98</v>
      </c>
      <c r="E36" s="25">
        <v>2</v>
      </c>
      <c r="F36" s="14" t="s">
        <v>49</v>
      </c>
      <c r="G36" s="14">
        <v>100</v>
      </c>
      <c r="J36" s="25">
        <v>11</v>
      </c>
      <c r="K36" s="14" t="s">
        <v>57</v>
      </c>
      <c r="L36" s="17">
        <v>29.43</v>
      </c>
    </row>
    <row r="37" spans="1:12" x14ac:dyDescent="0.3">
      <c r="A37" s="25">
        <v>2</v>
      </c>
      <c r="B37" s="14" t="s">
        <v>49</v>
      </c>
      <c r="C37" s="14">
        <v>100</v>
      </c>
      <c r="E37" s="25">
        <v>17</v>
      </c>
      <c r="F37" s="14" t="s">
        <v>63</v>
      </c>
      <c r="G37" s="14">
        <v>100</v>
      </c>
      <c r="J37" s="25">
        <v>4</v>
      </c>
      <c r="K37" s="14" t="s">
        <v>50</v>
      </c>
      <c r="L37" s="17">
        <v>33.22</v>
      </c>
    </row>
    <row r="38" spans="1:12" x14ac:dyDescent="0.3">
      <c r="A38" s="25">
        <v>17</v>
      </c>
      <c r="B38" s="14" t="s">
        <v>63</v>
      </c>
      <c r="C38" s="14">
        <v>100</v>
      </c>
      <c r="E38" s="25">
        <v>9</v>
      </c>
      <c r="F38" s="14" t="s">
        <v>55</v>
      </c>
      <c r="G38" s="27">
        <v>100.77</v>
      </c>
      <c r="J38" s="25">
        <v>8</v>
      </c>
      <c r="K38" s="14" t="s">
        <v>54</v>
      </c>
      <c r="L38" s="17">
        <v>39.6</v>
      </c>
    </row>
    <row r="39" spans="1:12" x14ac:dyDescent="0.3">
      <c r="A39" s="15"/>
      <c r="B39" s="15" t="s">
        <v>47</v>
      </c>
      <c r="C39" s="15">
        <v>91.83</v>
      </c>
      <c r="E39" s="15"/>
      <c r="F39" s="15" t="s">
        <v>47</v>
      </c>
      <c r="G39" s="15">
        <v>92.58</v>
      </c>
      <c r="J39" s="15"/>
      <c r="K39" s="15" t="s">
        <v>47</v>
      </c>
      <c r="L39" s="18">
        <v>14.82</v>
      </c>
    </row>
    <row r="40" spans="1:12" x14ac:dyDescent="0.3">
      <c r="A40" s="34"/>
      <c r="B40" s="36" t="s">
        <v>91</v>
      </c>
      <c r="C40" s="37"/>
      <c r="E40" s="34"/>
      <c r="F40" s="36" t="s">
        <v>91</v>
      </c>
      <c r="G40" s="37"/>
      <c r="J40" s="34"/>
      <c r="K40" s="36" t="s">
        <v>91</v>
      </c>
      <c r="L40" s="37"/>
    </row>
  </sheetData>
  <sortState xmlns:xlrd2="http://schemas.microsoft.com/office/spreadsheetml/2017/richdata2" ref="J4:L38">
    <sortCondition ref="L4:L38"/>
  </sortState>
  <mergeCells count="2">
    <mergeCell ref="A1:C1"/>
    <mergeCell ref="A2:C2"/>
  </mergeCells>
  <conditionalFormatting sqref="C4:C39">
    <cfRule type="cellIs" dxfId="34" priority="6" operator="greaterThan">
      <formula>100.1</formula>
    </cfRule>
    <cfRule type="cellIs" dxfId="33" priority="7" operator="lessThan">
      <formula>67</formula>
    </cfRule>
    <cfRule type="cellIs" dxfId="32" priority="8" operator="greaterThan">
      <formula>67</formula>
    </cfRule>
  </conditionalFormatting>
  <conditionalFormatting sqref="G4:G39">
    <cfRule type="cellIs" dxfId="31" priority="3" operator="lessThan">
      <formula>77</formula>
    </cfRule>
    <cfRule type="cellIs" dxfId="30" priority="4" operator="between">
      <formula>77</formula>
      <formula>100</formula>
    </cfRule>
    <cfRule type="cellIs" dxfId="29" priority="5" operator="greaterThan">
      <formula>100.1</formula>
    </cfRule>
  </conditionalFormatting>
  <conditionalFormatting sqref="L4:L39">
    <cfRule type="cellIs" dxfId="28" priority="1" operator="greaterThan">
      <formula>23</formula>
    </cfRule>
    <cfRule type="cellIs" dxfId="27" priority="2" operator="lessThan">
      <formula>23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A7E38-3B76-4F62-9032-5AF1412E93E3}">
  <dimension ref="A3:P41"/>
  <sheetViews>
    <sheetView topLeftCell="A14" workbookViewId="0">
      <selection activeCell="N4" sqref="N4:P39"/>
    </sheetView>
  </sheetViews>
  <sheetFormatPr defaultRowHeight="14.4" x14ac:dyDescent="0.3"/>
  <cols>
    <col min="1" max="1" width="5.21875" customWidth="1"/>
    <col min="2" max="2" width="19.21875" customWidth="1"/>
    <col min="3" max="3" width="13.33203125" hidden="1" customWidth="1"/>
    <col min="4" max="4" width="10.88671875" customWidth="1"/>
    <col min="9" max="9" width="5.21875" customWidth="1"/>
    <col min="10" max="10" width="19.21875" customWidth="1"/>
    <col min="11" max="11" width="10.109375" customWidth="1"/>
    <col min="14" max="14" width="5.21875" customWidth="1"/>
    <col min="15" max="15" width="19.21875" customWidth="1"/>
    <col min="16" max="16" width="8.5546875" customWidth="1"/>
  </cols>
  <sheetData>
    <row r="3" spans="1:16" ht="43.8" thickBot="1" x14ac:dyDescent="0.35">
      <c r="A3" s="51" t="s">
        <v>1</v>
      </c>
      <c r="B3" s="51" t="s">
        <v>2</v>
      </c>
      <c r="C3" s="53" t="s">
        <v>98</v>
      </c>
      <c r="D3" s="53" t="s">
        <v>197</v>
      </c>
      <c r="I3" s="55" t="s">
        <v>1</v>
      </c>
      <c r="J3" s="55" t="s">
        <v>2</v>
      </c>
      <c r="K3" s="53" t="s">
        <v>116</v>
      </c>
      <c r="N3" s="35" t="s">
        <v>1</v>
      </c>
      <c r="O3" s="35" t="s">
        <v>2</v>
      </c>
    </row>
    <row r="4" spans="1:16" ht="15.6" thickTop="1" thickBot="1" x14ac:dyDescent="0.35">
      <c r="A4" s="44">
        <v>32</v>
      </c>
      <c r="B4" s="45" t="s">
        <v>6</v>
      </c>
      <c r="C4" s="46">
        <v>2212</v>
      </c>
      <c r="D4" s="45">
        <v>0</v>
      </c>
      <c r="I4" s="44">
        <v>7</v>
      </c>
      <c r="J4" s="45" t="s">
        <v>53</v>
      </c>
      <c r="K4" s="45">
        <v>0</v>
      </c>
      <c r="N4" s="51" t="s">
        <v>1</v>
      </c>
      <c r="O4" s="51" t="s">
        <v>2</v>
      </c>
      <c r="P4" s="53" t="s">
        <v>117</v>
      </c>
    </row>
    <row r="5" spans="1:16" ht="15" thickTop="1" x14ac:dyDescent="0.3">
      <c r="A5" s="25">
        <v>14</v>
      </c>
      <c r="B5" s="14" t="s">
        <v>60</v>
      </c>
      <c r="C5" s="26">
        <v>1819</v>
      </c>
      <c r="D5" s="14">
        <v>0.73</v>
      </c>
      <c r="I5" s="25">
        <v>15</v>
      </c>
      <c r="J5" s="14" t="s">
        <v>61</v>
      </c>
      <c r="K5" s="14">
        <v>0</v>
      </c>
      <c r="N5" s="44">
        <v>10</v>
      </c>
      <c r="O5" s="45" t="s">
        <v>56</v>
      </c>
      <c r="P5" s="47">
        <v>29.803313632399963</v>
      </c>
    </row>
    <row r="6" spans="1:16" x14ac:dyDescent="0.3">
      <c r="A6" s="25">
        <v>6</v>
      </c>
      <c r="B6" s="14" t="s">
        <v>52</v>
      </c>
      <c r="C6" s="26">
        <v>609</v>
      </c>
      <c r="D6" s="14">
        <v>3.56</v>
      </c>
      <c r="I6" s="25">
        <v>24</v>
      </c>
      <c r="J6" s="14" t="s">
        <v>70</v>
      </c>
      <c r="K6" s="14">
        <v>0</v>
      </c>
      <c r="N6" s="25">
        <v>30</v>
      </c>
      <c r="O6" s="14" t="s">
        <v>4</v>
      </c>
      <c r="P6" s="17">
        <v>38.437821171634127</v>
      </c>
    </row>
    <row r="7" spans="1:16" x14ac:dyDescent="0.3">
      <c r="A7" s="25">
        <v>16</v>
      </c>
      <c r="B7" s="14" t="s">
        <v>62</v>
      </c>
      <c r="C7" s="26">
        <v>1248</v>
      </c>
      <c r="D7" s="14">
        <v>3.73</v>
      </c>
      <c r="I7" s="25">
        <v>30</v>
      </c>
      <c r="J7" s="14" t="s">
        <v>4</v>
      </c>
      <c r="K7" s="14">
        <v>0</v>
      </c>
      <c r="N7" s="25">
        <v>16</v>
      </c>
      <c r="O7" s="14" t="s">
        <v>62</v>
      </c>
      <c r="P7" s="17">
        <v>38.555185482944758</v>
      </c>
    </row>
    <row r="8" spans="1:16" x14ac:dyDescent="0.3">
      <c r="A8" s="25">
        <v>13</v>
      </c>
      <c r="B8" s="14" t="s">
        <v>59</v>
      </c>
      <c r="C8" s="26">
        <v>1136</v>
      </c>
      <c r="D8" s="14">
        <v>4.71</v>
      </c>
      <c r="I8" s="25">
        <v>32</v>
      </c>
      <c r="J8" s="14" t="s">
        <v>6</v>
      </c>
      <c r="K8" s="14">
        <v>6</v>
      </c>
      <c r="N8" s="25">
        <v>29</v>
      </c>
      <c r="O8" s="14" t="s">
        <v>75</v>
      </c>
      <c r="P8" s="17">
        <v>38.714291552576732</v>
      </c>
    </row>
    <row r="9" spans="1:16" x14ac:dyDescent="0.3">
      <c r="A9" s="25">
        <v>29</v>
      </c>
      <c r="B9" s="14" t="s">
        <v>75</v>
      </c>
      <c r="C9" s="26">
        <v>2848</v>
      </c>
      <c r="D9" s="14">
        <v>5.61</v>
      </c>
      <c r="I9" s="25">
        <v>23</v>
      </c>
      <c r="J9" s="14" t="s">
        <v>69</v>
      </c>
      <c r="K9" s="14">
        <v>8.4700000000000006</v>
      </c>
      <c r="N9" s="25">
        <v>27</v>
      </c>
      <c r="O9" s="14" t="s">
        <v>73</v>
      </c>
      <c r="P9" s="17">
        <v>38.931407251506741</v>
      </c>
    </row>
    <row r="10" spans="1:16" x14ac:dyDescent="0.3">
      <c r="A10" s="25">
        <v>7</v>
      </c>
      <c r="B10" s="14" t="s">
        <v>53</v>
      </c>
      <c r="C10" s="26">
        <v>1796</v>
      </c>
      <c r="D10" s="14">
        <v>5.92</v>
      </c>
      <c r="I10" s="25">
        <v>35</v>
      </c>
      <c r="J10" s="14" t="s">
        <v>9</v>
      </c>
      <c r="K10" s="14">
        <v>12.33</v>
      </c>
      <c r="N10" s="25">
        <v>3</v>
      </c>
      <c r="O10" s="14" t="s">
        <v>44</v>
      </c>
      <c r="P10" s="17">
        <v>38.996763754045304</v>
      </c>
    </row>
    <row r="11" spans="1:16" x14ac:dyDescent="0.3">
      <c r="A11" s="25">
        <v>31</v>
      </c>
      <c r="B11" s="14" t="s">
        <v>5</v>
      </c>
      <c r="C11" s="26">
        <v>3968</v>
      </c>
      <c r="D11" s="14">
        <v>6.06</v>
      </c>
      <c r="I11" s="25">
        <v>33</v>
      </c>
      <c r="J11" s="14" t="s">
        <v>7</v>
      </c>
      <c r="K11" s="14">
        <v>20.309999999999999</v>
      </c>
      <c r="N11" s="25">
        <v>24</v>
      </c>
      <c r="O11" s="14" t="s">
        <v>70</v>
      </c>
      <c r="P11" s="17">
        <v>39.179340937896072</v>
      </c>
    </row>
    <row r="12" spans="1:16" x14ac:dyDescent="0.3">
      <c r="A12" s="25">
        <v>15</v>
      </c>
      <c r="B12" s="14" t="s">
        <v>61</v>
      </c>
      <c r="C12" s="26">
        <v>1508</v>
      </c>
      <c r="D12" s="14">
        <v>6.24</v>
      </c>
      <c r="I12" s="25">
        <v>28</v>
      </c>
      <c r="J12" s="14" t="s">
        <v>74</v>
      </c>
      <c r="K12" s="14">
        <v>24.56</v>
      </c>
      <c r="N12" s="25">
        <v>18</v>
      </c>
      <c r="O12" s="14" t="s">
        <v>64</v>
      </c>
      <c r="P12" s="17">
        <v>39.374185136896998</v>
      </c>
    </row>
    <row r="13" spans="1:16" x14ac:dyDescent="0.3">
      <c r="A13" s="25">
        <v>20</v>
      </c>
      <c r="B13" s="14" t="s">
        <v>66</v>
      </c>
      <c r="C13" s="26">
        <v>2287</v>
      </c>
      <c r="D13" s="14">
        <v>6.69</v>
      </c>
      <c r="I13" s="25">
        <v>18</v>
      </c>
      <c r="J13" s="14" t="s">
        <v>64</v>
      </c>
      <c r="K13" s="14">
        <v>27.4</v>
      </c>
      <c r="N13" s="25">
        <v>7</v>
      </c>
      <c r="O13" s="14" t="s">
        <v>53</v>
      </c>
      <c r="P13" s="17">
        <v>39.469957515678736</v>
      </c>
    </row>
    <row r="14" spans="1:16" x14ac:dyDescent="0.3">
      <c r="A14" s="25">
        <v>28</v>
      </c>
      <c r="B14" s="14" t="s">
        <v>74</v>
      </c>
      <c r="C14" s="26">
        <v>1962</v>
      </c>
      <c r="D14" s="14">
        <v>6.96</v>
      </c>
      <c r="I14" s="25">
        <v>4</v>
      </c>
      <c r="J14" s="14" t="s">
        <v>50</v>
      </c>
      <c r="K14" s="14">
        <v>37.08</v>
      </c>
      <c r="N14" s="25">
        <v>19</v>
      </c>
      <c r="O14" s="14" t="s">
        <v>65</v>
      </c>
      <c r="P14" s="17">
        <v>39.564353155540829</v>
      </c>
    </row>
    <row r="15" spans="1:16" x14ac:dyDescent="0.3">
      <c r="A15" s="25">
        <v>11</v>
      </c>
      <c r="B15" s="14" t="s">
        <v>57</v>
      </c>
      <c r="C15" s="26">
        <v>848</v>
      </c>
      <c r="D15" s="14">
        <v>7.05</v>
      </c>
      <c r="I15" s="25">
        <v>2</v>
      </c>
      <c r="J15" s="14" t="s">
        <v>49</v>
      </c>
      <c r="K15" s="14">
        <v>42.18</v>
      </c>
      <c r="N15" s="25">
        <v>17</v>
      </c>
      <c r="O15" s="14" t="s">
        <v>63</v>
      </c>
      <c r="P15" s="17">
        <v>40.735047512576863</v>
      </c>
    </row>
    <row r="16" spans="1:16" x14ac:dyDescent="0.3">
      <c r="A16" s="25">
        <v>35</v>
      </c>
      <c r="B16" s="14" t="s">
        <v>9</v>
      </c>
      <c r="C16" s="26">
        <v>3153</v>
      </c>
      <c r="D16" s="14">
        <v>7.66</v>
      </c>
      <c r="I16" s="25">
        <v>16</v>
      </c>
      <c r="J16" s="14" t="s">
        <v>62</v>
      </c>
      <c r="K16" s="14">
        <v>44.41</v>
      </c>
      <c r="N16" s="25">
        <v>15</v>
      </c>
      <c r="O16" s="14" t="s">
        <v>61</v>
      </c>
      <c r="P16" s="17">
        <v>41.062275756022551</v>
      </c>
    </row>
    <row r="17" spans="1:16" x14ac:dyDescent="0.3">
      <c r="A17" s="25">
        <v>33</v>
      </c>
      <c r="B17" s="14" t="s">
        <v>7</v>
      </c>
      <c r="C17" s="26">
        <v>2929</v>
      </c>
      <c r="D17" s="14">
        <v>7.74</v>
      </c>
      <c r="I17" s="25">
        <v>13</v>
      </c>
      <c r="J17" s="14" t="s">
        <v>59</v>
      </c>
      <c r="K17" s="14">
        <v>47.37</v>
      </c>
      <c r="N17" s="25">
        <v>25</v>
      </c>
      <c r="O17" s="14" t="s">
        <v>71</v>
      </c>
      <c r="P17" s="17">
        <v>41.435438059864538</v>
      </c>
    </row>
    <row r="18" spans="1:16" x14ac:dyDescent="0.3">
      <c r="A18" s="25">
        <v>10</v>
      </c>
      <c r="B18" s="14" t="s">
        <v>56</v>
      </c>
      <c r="C18" s="26">
        <v>1736</v>
      </c>
      <c r="D18" s="14">
        <v>7.97</v>
      </c>
      <c r="I18" s="25">
        <v>5</v>
      </c>
      <c r="J18" s="14" t="s">
        <v>51</v>
      </c>
      <c r="K18" s="14">
        <v>48.64</v>
      </c>
      <c r="N18" s="25">
        <v>32</v>
      </c>
      <c r="O18" s="14" t="s">
        <v>6</v>
      </c>
      <c r="P18" s="17">
        <v>42.864222001982164</v>
      </c>
    </row>
    <row r="19" spans="1:16" x14ac:dyDescent="0.3">
      <c r="A19" s="25">
        <v>23</v>
      </c>
      <c r="B19" s="14" t="s">
        <v>69</v>
      </c>
      <c r="C19" s="26">
        <v>2024</v>
      </c>
      <c r="D19" s="14">
        <v>9.34</v>
      </c>
      <c r="I19" s="25">
        <v>34</v>
      </c>
      <c r="J19" s="14" t="s">
        <v>8</v>
      </c>
      <c r="K19" s="14">
        <v>52.85</v>
      </c>
      <c r="N19" s="25">
        <v>6</v>
      </c>
      <c r="O19" s="14" t="s">
        <v>52</v>
      </c>
      <c r="P19" s="17">
        <v>43.077650023625772</v>
      </c>
    </row>
    <row r="20" spans="1:16" x14ac:dyDescent="0.3">
      <c r="A20" s="25">
        <v>1</v>
      </c>
      <c r="B20" s="14" t="s">
        <v>48</v>
      </c>
      <c r="C20" s="26">
        <v>98</v>
      </c>
      <c r="D20" s="14">
        <v>11.37</v>
      </c>
      <c r="I20" s="25">
        <v>29</v>
      </c>
      <c r="J20" s="14" t="s">
        <v>75</v>
      </c>
      <c r="K20" s="14">
        <v>62.17</v>
      </c>
      <c r="N20" s="25">
        <v>2</v>
      </c>
      <c r="O20" s="14" t="s">
        <v>49</v>
      </c>
      <c r="P20" s="17">
        <v>43.140664348243199</v>
      </c>
    </row>
    <row r="21" spans="1:16" x14ac:dyDescent="0.3">
      <c r="A21" s="25">
        <v>27</v>
      </c>
      <c r="B21" s="14" t="s">
        <v>73</v>
      </c>
      <c r="C21" s="26">
        <v>2766</v>
      </c>
      <c r="D21" s="14">
        <v>12.32</v>
      </c>
      <c r="I21" s="25">
        <v>17</v>
      </c>
      <c r="J21" s="14" t="s">
        <v>63</v>
      </c>
      <c r="K21" s="14">
        <v>72.02</v>
      </c>
      <c r="N21" s="25">
        <v>26</v>
      </c>
      <c r="O21" s="14" t="s">
        <v>72</v>
      </c>
      <c r="P21" s="17">
        <v>43.317972350230413</v>
      </c>
    </row>
    <row r="22" spans="1:16" x14ac:dyDescent="0.3">
      <c r="A22" s="25">
        <v>8</v>
      </c>
      <c r="B22" s="14" t="s">
        <v>54</v>
      </c>
      <c r="C22" s="26">
        <v>1373</v>
      </c>
      <c r="D22" s="14">
        <v>12.48</v>
      </c>
      <c r="I22" s="25">
        <v>14</v>
      </c>
      <c r="J22" s="14" t="s">
        <v>60</v>
      </c>
      <c r="K22" s="14">
        <v>74.56</v>
      </c>
      <c r="N22" s="25">
        <v>1</v>
      </c>
      <c r="O22" s="14" t="s">
        <v>48</v>
      </c>
      <c r="P22" s="17">
        <v>43.552165894023233</v>
      </c>
    </row>
    <row r="23" spans="1:16" x14ac:dyDescent="0.3">
      <c r="A23" s="25">
        <v>19</v>
      </c>
      <c r="B23" s="14" t="s">
        <v>65</v>
      </c>
      <c r="C23" s="26">
        <v>2410</v>
      </c>
      <c r="D23" s="14">
        <v>12.94</v>
      </c>
      <c r="I23" s="25">
        <v>10</v>
      </c>
      <c r="J23" s="14" t="s">
        <v>56</v>
      </c>
      <c r="K23" s="14">
        <v>82.65</v>
      </c>
      <c r="N23" s="25">
        <v>23</v>
      </c>
      <c r="O23" s="14" t="s">
        <v>69</v>
      </c>
      <c r="P23" s="17">
        <v>44.12883935852134</v>
      </c>
    </row>
    <row r="24" spans="1:16" x14ac:dyDescent="0.3">
      <c r="A24" s="25">
        <v>5</v>
      </c>
      <c r="B24" s="14" t="s">
        <v>51</v>
      </c>
      <c r="C24" s="26">
        <v>927</v>
      </c>
      <c r="D24" s="14">
        <v>13.4</v>
      </c>
      <c r="I24" s="25">
        <v>12</v>
      </c>
      <c r="J24" s="14" t="s">
        <v>58</v>
      </c>
      <c r="K24" s="14">
        <v>82.91</v>
      </c>
      <c r="N24" s="25">
        <v>4</v>
      </c>
      <c r="O24" s="14" t="s">
        <v>50</v>
      </c>
      <c r="P24" s="17">
        <v>44.171259008054257</v>
      </c>
    </row>
    <row r="25" spans="1:16" x14ac:dyDescent="0.3">
      <c r="A25" s="25">
        <v>21</v>
      </c>
      <c r="B25" s="14" t="s">
        <v>67</v>
      </c>
      <c r="C25" s="26">
        <v>1783</v>
      </c>
      <c r="D25" s="14">
        <v>13.97</v>
      </c>
      <c r="I25" s="25">
        <v>19</v>
      </c>
      <c r="J25" s="14" t="s">
        <v>65</v>
      </c>
      <c r="K25" s="14">
        <v>86.24</v>
      </c>
      <c r="N25" s="25">
        <v>33</v>
      </c>
      <c r="O25" s="14" t="s">
        <v>7</v>
      </c>
      <c r="P25" s="17">
        <v>44.260628987634803</v>
      </c>
    </row>
    <row r="26" spans="1:16" x14ac:dyDescent="0.3">
      <c r="A26" s="25">
        <v>26</v>
      </c>
      <c r="B26" s="14" t="s">
        <v>72</v>
      </c>
      <c r="C26" s="26">
        <v>5361</v>
      </c>
      <c r="D26" s="14">
        <v>14.18</v>
      </c>
      <c r="I26" s="25">
        <v>31</v>
      </c>
      <c r="J26" s="14" t="s">
        <v>5</v>
      </c>
      <c r="K26" s="27">
        <v>100.5</v>
      </c>
      <c r="N26" s="25">
        <v>28</v>
      </c>
      <c r="O26" s="14" t="s">
        <v>74</v>
      </c>
      <c r="P26" s="17">
        <v>44.473738626964433</v>
      </c>
    </row>
    <row r="27" spans="1:16" x14ac:dyDescent="0.3">
      <c r="A27" s="25">
        <v>2</v>
      </c>
      <c r="B27" s="14" t="s">
        <v>49</v>
      </c>
      <c r="C27" s="26">
        <v>55</v>
      </c>
      <c r="D27" s="14">
        <v>15.15</v>
      </c>
      <c r="I27" s="25">
        <v>6</v>
      </c>
      <c r="J27" s="14" t="s">
        <v>52</v>
      </c>
      <c r="K27" s="27">
        <v>111.32</v>
      </c>
      <c r="N27" s="25">
        <v>20</v>
      </c>
      <c r="O27" s="14" t="s">
        <v>66</v>
      </c>
      <c r="P27" s="17">
        <v>44.540382571732202</v>
      </c>
    </row>
    <row r="28" spans="1:16" x14ac:dyDescent="0.3">
      <c r="A28" s="25">
        <v>22</v>
      </c>
      <c r="B28" s="14" t="s">
        <v>68</v>
      </c>
      <c r="C28" s="26">
        <v>2208</v>
      </c>
      <c r="D28" s="14">
        <v>15.62</v>
      </c>
      <c r="I28" s="25">
        <v>8</v>
      </c>
      <c r="J28" s="14" t="s">
        <v>54</v>
      </c>
      <c r="K28" s="27">
        <v>140</v>
      </c>
      <c r="N28" s="25">
        <v>22</v>
      </c>
      <c r="O28" s="14" t="s">
        <v>68</v>
      </c>
      <c r="P28" s="17">
        <v>45.458801498127336</v>
      </c>
    </row>
    <row r="29" spans="1:16" x14ac:dyDescent="0.3">
      <c r="A29" s="25">
        <v>3</v>
      </c>
      <c r="B29" s="14" t="s">
        <v>44</v>
      </c>
      <c r="C29" s="26">
        <v>300</v>
      </c>
      <c r="D29" s="14">
        <v>16.329999999999998</v>
      </c>
      <c r="I29" s="25">
        <v>3</v>
      </c>
      <c r="J29" s="14" t="s">
        <v>44</v>
      </c>
      <c r="K29" s="27">
        <v>150.1</v>
      </c>
      <c r="N29" s="25">
        <v>8</v>
      </c>
      <c r="O29" s="14" t="s">
        <v>54</v>
      </c>
      <c r="P29" s="17">
        <v>45.799683623345267</v>
      </c>
    </row>
    <row r="30" spans="1:16" x14ac:dyDescent="0.3">
      <c r="A30" s="25">
        <v>12</v>
      </c>
      <c r="B30" s="14" t="s">
        <v>58</v>
      </c>
      <c r="C30" s="26">
        <v>1436</v>
      </c>
      <c r="D30" s="14">
        <v>17.32</v>
      </c>
      <c r="I30" s="25">
        <v>27</v>
      </c>
      <c r="J30" s="14" t="s">
        <v>73</v>
      </c>
      <c r="K30" s="27">
        <v>156.44</v>
      </c>
      <c r="N30" s="25">
        <v>14</v>
      </c>
      <c r="O30" s="14" t="s">
        <v>60</v>
      </c>
      <c r="P30" s="17">
        <v>45.802124091671324</v>
      </c>
    </row>
    <row r="31" spans="1:16" x14ac:dyDescent="0.3">
      <c r="A31" s="25">
        <v>18</v>
      </c>
      <c r="B31" s="14" t="s">
        <v>64</v>
      </c>
      <c r="C31" s="26">
        <v>334</v>
      </c>
      <c r="D31" s="14">
        <v>18.61</v>
      </c>
      <c r="I31" s="25">
        <v>22</v>
      </c>
      <c r="J31" s="14" t="s">
        <v>68</v>
      </c>
      <c r="K31" s="27">
        <v>172.31</v>
      </c>
      <c r="N31" s="25">
        <v>34</v>
      </c>
      <c r="O31" s="14" t="s">
        <v>8</v>
      </c>
      <c r="P31" s="17">
        <v>46.935348446683463</v>
      </c>
    </row>
    <row r="32" spans="1:16" x14ac:dyDescent="0.3">
      <c r="A32" s="25">
        <v>4</v>
      </c>
      <c r="B32" s="14" t="s">
        <v>50</v>
      </c>
      <c r="C32" s="26">
        <v>1093</v>
      </c>
      <c r="D32" s="14">
        <v>19.32</v>
      </c>
      <c r="I32" s="25">
        <v>9</v>
      </c>
      <c r="J32" s="14" t="s">
        <v>55</v>
      </c>
      <c r="K32" s="27">
        <v>178.53</v>
      </c>
      <c r="N32" s="25">
        <v>13</v>
      </c>
      <c r="O32" s="14" t="s">
        <v>59</v>
      </c>
      <c r="P32" s="17">
        <v>47.661947661947664</v>
      </c>
    </row>
    <row r="33" spans="1:16" x14ac:dyDescent="0.3">
      <c r="A33" s="25">
        <v>9</v>
      </c>
      <c r="B33" s="14" t="s">
        <v>55</v>
      </c>
      <c r="C33" s="26">
        <v>795</v>
      </c>
      <c r="D33" s="14">
        <v>22.35</v>
      </c>
      <c r="I33" s="25">
        <v>20</v>
      </c>
      <c r="J33" s="14" t="s">
        <v>66</v>
      </c>
      <c r="K33" s="27">
        <v>188.65</v>
      </c>
      <c r="N33" s="25">
        <v>11</v>
      </c>
      <c r="O33" s="14" t="s">
        <v>57</v>
      </c>
      <c r="P33" s="17">
        <v>47.693759584758759</v>
      </c>
    </row>
    <row r="34" spans="1:16" x14ac:dyDescent="0.3">
      <c r="A34" s="25">
        <v>34</v>
      </c>
      <c r="B34" s="14" t="s">
        <v>8</v>
      </c>
      <c r="C34" s="26">
        <v>315</v>
      </c>
      <c r="D34" s="14">
        <v>22.65</v>
      </c>
      <c r="I34" s="25">
        <v>25</v>
      </c>
      <c r="J34" s="14" t="s">
        <v>71</v>
      </c>
      <c r="K34" s="27">
        <v>208.29</v>
      </c>
      <c r="N34" s="25">
        <v>12</v>
      </c>
      <c r="O34" s="14" t="s">
        <v>58</v>
      </c>
      <c r="P34" s="17">
        <v>47.904839145715059</v>
      </c>
    </row>
    <row r="35" spans="1:16" x14ac:dyDescent="0.3">
      <c r="A35" s="25">
        <v>17</v>
      </c>
      <c r="B35" s="14" t="s">
        <v>63</v>
      </c>
      <c r="C35" s="26">
        <v>438</v>
      </c>
      <c r="D35" s="14">
        <v>24.31</v>
      </c>
      <c r="I35" s="25">
        <v>26</v>
      </c>
      <c r="J35" s="14" t="s">
        <v>72</v>
      </c>
      <c r="K35" s="27">
        <v>217.53</v>
      </c>
      <c r="N35" s="25">
        <v>9</v>
      </c>
      <c r="O35" s="14" t="s">
        <v>55</v>
      </c>
      <c r="P35" s="17">
        <v>48.507102135472024</v>
      </c>
    </row>
    <row r="36" spans="1:16" x14ac:dyDescent="0.3">
      <c r="A36" s="25">
        <v>30</v>
      </c>
      <c r="B36" s="14" t="s">
        <v>4</v>
      </c>
      <c r="C36" s="26">
        <v>2663</v>
      </c>
      <c r="D36" s="14">
        <v>25.15</v>
      </c>
      <c r="I36" s="25">
        <v>11</v>
      </c>
      <c r="J36" s="14" t="s">
        <v>57</v>
      </c>
      <c r="K36" s="27">
        <v>413.82</v>
      </c>
      <c r="N36" s="25">
        <v>21</v>
      </c>
      <c r="O36" s="14" t="s">
        <v>67</v>
      </c>
      <c r="P36" s="17">
        <v>48.844642738230007</v>
      </c>
    </row>
    <row r="37" spans="1:16" x14ac:dyDescent="0.3">
      <c r="A37" s="25">
        <v>24</v>
      </c>
      <c r="B37" s="14" t="s">
        <v>70</v>
      </c>
      <c r="C37" s="26">
        <v>3614</v>
      </c>
      <c r="D37" s="14">
        <v>27.56</v>
      </c>
      <c r="I37" s="25">
        <v>1</v>
      </c>
      <c r="J37" s="14" t="s">
        <v>48</v>
      </c>
      <c r="K37" s="27">
        <v>672.46</v>
      </c>
      <c r="N37" s="25">
        <v>35</v>
      </c>
      <c r="O37" s="14" t="s">
        <v>9</v>
      </c>
      <c r="P37" s="17">
        <v>49.248809087577868</v>
      </c>
    </row>
    <row r="38" spans="1:16" x14ac:dyDescent="0.3">
      <c r="A38" s="25">
        <v>25</v>
      </c>
      <c r="B38" s="14" t="s">
        <v>71</v>
      </c>
      <c r="C38" s="26">
        <v>854</v>
      </c>
      <c r="D38" s="14">
        <v>29.26</v>
      </c>
      <c r="I38" s="25">
        <v>21</v>
      </c>
      <c r="J38" s="14" t="s">
        <v>67</v>
      </c>
      <c r="K38" s="27">
        <v>1321.74</v>
      </c>
      <c r="N38" s="25">
        <v>31</v>
      </c>
      <c r="O38" s="14" t="s">
        <v>5</v>
      </c>
      <c r="P38" s="17">
        <v>51.246612466124667</v>
      </c>
    </row>
    <row r="39" spans="1:16" x14ac:dyDescent="0.3">
      <c r="A39" s="15"/>
      <c r="B39" s="15" t="s">
        <v>47</v>
      </c>
      <c r="C39" s="28">
        <v>60906</v>
      </c>
      <c r="D39" s="15">
        <v>11.89</v>
      </c>
      <c r="I39" s="15"/>
      <c r="J39" s="15" t="s">
        <v>47</v>
      </c>
      <c r="K39" s="15">
        <v>81.56</v>
      </c>
      <c r="N39" s="25">
        <v>5</v>
      </c>
      <c r="O39" s="14" t="s">
        <v>51</v>
      </c>
      <c r="P39" s="17">
        <v>51.468935623695621</v>
      </c>
    </row>
    <row r="40" spans="1:16" ht="29.55" customHeight="1" x14ac:dyDescent="0.3">
      <c r="A40" s="34"/>
      <c r="B40" s="36" t="s">
        <v>91</v>
      </c>
      <c r="C40" s="217" t="s">
        <v>77</v>
      </c>
      <c r="D40" s="218"/>
      <c r="I40" s="34"/>
      <c r="J40" s="36" t="s">
        <v>91</v>
      </c>
      <c r="N40" s="15"/>
      <c r="O40" s="15" t="s">
        <v>47</v>
      </c>
      <c r="P40" s="18">
        <v>43.029385546983065</v>
      </c>
    </row>
    <row r="41" spans="1:16" x14ac:dyDescent="0.3">
      <c r="N41" s="34"/>
      <c r="O41" s="36" t="s">
        <v>91</v>
      </c>
    </row>
  </sheetData>
  <sortState xmlns:xlrd2="http://schemas.microsoft.com/office/spreadsheetml/2017/richdata2" ref="N5:P39">
    <sortCondition ref="P5:P39"/>
  </sortState>
  <mergeCells count="1">
    <mergeCell ref="C40:D40"/>
  </mergeCells>
  <conditionalFormatting sqref="D4:D39">
    <cfRule type="cellIs" dxfId="26" priority="9" operator="lessThan">
      <formula>26</formula>
    </cfRule>
    <cfRule type="cellIs" dxfId="25" priority="10" operator="greaterThan">
      <formula>26</formula>
    </cfRule>
  </conditionalFormatting>
  <conditionalFormatting sqref="K4:K39">
    <cfRule type="cellIs" dxfId="24" priority="6" operator="greaterThan">
      <formula>100.1</formula>
    </cfRule>
    <cfRule type="cellIs" dxfId="23" priority="7" operator="lessThan">
      <formula>85</formula>
    </cfRule>
    <cfRule type="cellIs" dxfId="22" priority="8" operator="greaterThan">
      <formula>85</formula>
    </cfRule>
  </conditionalFormatting>
  <conditionalFormatting sqref="P5:P40">
    <cfRule type="cellIs" dxfId="21" priority="1" operator="greaterThan">
      <formula>100.1</formula>
    </cfRule>
    <cfRule type="cellIs" dxfId="20" priority="2" operator="lessThan">
      <formula>40</formula>
    </cfRule>
    <cfRule type="cellIs" dxfId="19" priority="3" operator="greaterThan">
      <formula>40</formula>
    </cfRule>
    <cfRule type="cellIs" dxfId="18" priority="4" operator="greaterThan">
      <formula>23</formula>
    </cfRule>
    <cfRule type="cellIs" dxfId="17" priority="5" operator="lessThan">
      <formula>23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AC3BF-FF8F-4CDA-A341-2D266FBD321A}">
  <dimension ref="A3:I41"/>
  <sheetViews>
    <sheetView workbookViewId="0">
      <selection activeCell="G4" sqref="G4:I39"/>
    </sheetView>
  </sheetViews>
  <sheetFormatPr defaultRowHeight="14.4" x14ac:dyDescent="0.3"/>
  <cols>
    <col min="1" max="1" width="5.21875" customWidth="1"/>
    <col min="2" max="2" width="19.21875" customWidth="1"/>
    <col min="3" max="3" width="6.5546875" customWidth="1"/>
    <col min="7" max="7" width="5.21875" customWidth="1"/>
    <col min="8" max="8" width="19.21875" customWidth="1"/>
    <col min="9" max="9" width="8.44140625" customWidth="1"/>
  </cols>
  <sheetData>
    <row r="3" spans="1:9" x14ac:dyDescent="0.3">
      <c r="A3" s="35" t="s">
        <v>1</v>
      </c>
      <c r="B3" s="35" t="s">
        <v>2</v>
      </c>
      <c r="G3" s="35" t="s">
        <v>1</v>
      </c>
      <c r="H3" s="35" t="s">
        <v>2</v>
      </c>
    </row>
    <row r="4" spans="1:9" ht="43.8" thickBot="1" x14ac:dyDescent="0.35">
      <c r="A4" s="51" t="s">
        <v>1</v>
      </c>
      <c r="B4" s="51" t="s">
        <v>2</v>
      </c>
      <c r="C4" s="53" t="s">
        <v>108</v>
      </c>
      <c r="G4" s="51" t="s">
        <v>1</v>
      </c>
      <c r="H4" s="51" t="s">
        <v>2</v>
      </c>
      <c r="I4" s="53" t="s">
        <v>109</v>
      </c>
    </row>
    <row r="5" spans="1:9" ht="15" thickTop="1" x14ac:dyDescent="0.3">
      <c r="A5" s="44">
        <v>33</v>
      </c>
      <c r="B5" s="45" t="s">
        <v>7</v>
      </c>
      <c r="C5" s="45">
        <v>87.49</v>
      </c>
      <c r="G5" s="44">
        <v>20</v>
      </c>
      <c r="H5" s="45" t="s">
        <v>66</v>
      </c>
      <c r="I5" s="45">
        <v>0.23</v>
      </c>
    </row>
    <row r="6" spans="1:9" x14ac:dyDescent="0.3">
      <c r="A6" s="25">
        <v>29</v>
      </c>
      <c r="B6" s="14" t="s">
        <v>75</v>
      </c>
      <c r="C6" s="14">
        <v>88.55</v>
      </c>
      <c r="G6" s="25">
        <v>13</v>
      </c>
      <c r="H6" s="14" t="s">
        <v>59</v>
      </c>
      <c r="I6" s="14">
        <v>0.56000000000000005</v>
      </c>
    </row>
    <row r="7" spans="1:9" x14ac:dyDescent="0.3">
      <c r="A7" s="25">
        <v>17</v>
      </c>
      <c r="B7" s="14" t="s">
        <v>63</v>
      </c>
      <c r="C7" s="14">
        <v>88.88</v>
      </c>
      <c r="G7" s="25">
        <v>28</v>
      </c>
      <c r="H7" s="14" t="s">
        <v>74</v>
      </c>
      <c r="I7" s="14">
        <v>0.72</v>
      </c>
    </row>
    <row r="8" spans="1:9" x14ac:dyDescent="0.3">
      <c r="A8" s="25">
        <v>18</v>
      </c>
      <c r="B8" s="14" t="s">
        <v>64</v>
      </c>
      <c r="C8" s="14">
        <v>91.55</v>
      </c>
      <c r="G8" s="25">
        <v>7</v>
      </c>
      <c r="H8" s="14" t="s">
        <v>53</v>
      </c>
      <c r="I8" s="14">
        <v>1.44</v>
      </c>
    </row>
    <row r="9" spans="1:9" x14ac:dyDescent="0.3">
      <c r="A9" s="25">
        <v>14</v>
      </c>
      <c r="B9" s="14" t="s">
        <v>60</v>
      </c>
      <c r="C9" s="14">
        <v>92.04</v>
      </c>
      <c r="G9" s="25">
        <v>14</v>
      </c>
      <c r="H9" s="14" t="s">
        <v>60</v>
      </c>
      <c r="I9" s="14">
        <v>1.61</v>
      </c>
    </row>
    <row r="10" spans="1:9" x14ac:dyDescent="0.3">
      <c r="A10" s="25">
        <v>15</v>
      </c>
      <c r="B10" s="14" t="s">
        <v>61</v>
      </c>
      <c r="C10" s="14">
        <v>93.25</v>
      </c>
      <c r="G10" s="25">
        <v>5</v>
      </c>
      <c r="H10" s="14" t="s">
        <v>51</v>
      </c>
      <c r="I10" s="14">
        <v>2.19</v>
      </c>
    </row>
    <row r="11" spans="1:9" x14ac:dyDescent="0.3">
      <c r="A11" s="25">
        <v>26</v>
      </c>
      <c r="B11" s="14" t="s">
        <v>72</v>
      </c>
      <c r="C11" s="14">
        <v>93.95</v>
      </c>
      <c r="G11" s="25">
        <v>3</v>
      </c>
      <c r="H11" s="14" t="s">
        <v>44</v>
      </c>
      <c r="I11" s="14">
        <v>2.34</v>
      </c>
    </row>
    <row r="12" spans="1:9" x14ac:dyDescent="0.3">
      <c r="A12" s="25">
        <v>4</v>
      </c>
      <c r="B12" s="14" t="s">
        <v>50</v>
      </c>
      <c r="C12" s="14">
        <v>94.31</v>
      </c>
      <c r="G12" s="25">
        <v>29</v>
      </c>
      <c r="H12" s="14" t="s">
        <v>75</v>
      </c>
      <c r="I12" s="14">
        <v>2.52</v>
      </c>
    </row>
    <row r="13" spans="1:9" x14ac:dyDescent="0.3">
      <c r="A13" s="25">
        <v>34</v>
      </c>
      <c r="B13" s="14" t="s">
        <v>8</v>
      </c>
      <c r="C13" s="14">
        <v>94.41</v>
      </c>
      <c r="G13" s="25">
        <v>26</v>
      </c>
      <c r="H13" s="14" t="s">
        <v>72</v>
      </c>
      <c r="I13" s="14">
        <v>2.54</v>
      </c>
    </row>
    <row r="14" spans="1:9" x14ac:dyDescent="0.3">
      <c r="A14" s="25">
        <v>28</v>
      </c>
      <c r="B14" s="14" t="s">
        <v>74</v>
      </c>
      <c r="C14" s="14">
        <v>94.65</v>
      </c>
      <c r="G14" s="25">
        <v>19</v>
      </c>
      <c r="H14" s="14" t="s">
        <v>65</v>
      </c>
      <c r="I14" s="14">
        <v>2.62</v>
      </c>
    </row>
    <row r="15" spans="1:9" x14ac:dyDescent="0.3">
      <c r="A15" s="25">
        <v>25</v>
      </c>
      <c r="B15" s="14" t="s">
        <v>71</v>
      </c>
      <c r="C15" s="14">
        <v>94.69</v>
      </c>
      <c r="G15" s="25">
        <v>23</v>
      </c>
      <c r="H15" s="14" t="s">
        <v>69</v>
      </c>
      <c r="I15" s="14">
        <v>2.68</v>
      </c>
    </row>
    <row r="16" spans="1:9" x14ac:dyDescent="0.3">
      <c r="A16" s="25">
        <v>13</v>
      </c>
      <c r="B16" s="14" t="s">
        <v>59</v>
      </c>
      <c r="C16" s="14">
        <v>94.96</v>
      </c>
      <c r="G16" s="25">
        <v>17</v>
      </c>
      <c r="H16" s="14" t="s">
        <v>63</v>
      </c>
      <c r="I16" s="14">
        <v>2.79</v>
      </c>
    </row>
    <row r="17" spans="1:9" x14ac:dyDescent="0.3">
      <c r="A17" s="25">
        <v>32</v>
      </c>
      <c r="B17" s="14" t="s">
        <v>6</v>
      </c>
      <c r="C17" s="14">
        <v>94.99</v>
      </c>
      <c r="G17" s="25">
        <v>8</v>
      </c>
      <c r="H17" s="14" t="s">
        <v>54</v>
      </c>
      <c r="I17" s="14">
        <v>2.97</v>
      </c>
    </row>
    <row r="18" spans="1:9" x14ac:dyDescent="0.3">
      <c r="A18" s="25">
        <v>8</v>
      </c>
      <c r="B18" s="14" t="s">
        <v>54</v>
      </c>
      <c r="C18" s="14">
        <v>95.6</v>
      </c>
      <c r="G18" s="25">
        <v>9</v>
      </c>
      <c r="H18" s="14" t="s">
        <v>55</v>
      </c>
      <c r="I18" s="14">
        <v>3.53</v>
      </c>
    </row>
    <row r="19" spans="1:9" x14ac:dyDescent="0.3">
      <c r="A19" s="25">
        <v>9</v>
      </c>
      <c r="B19" s="14" t="s">
        <v>55</v>
      </c>
      <c r="C19" s="14">
        <v>95.86</v>
      </c>
      <c r="G19" s="25">
        <v>35</v>
      </c>
      <c r="H19" s="14" t="s">
        <v>9</v>
      </c>
      <c r="I19" s="14">
        <v>3.58</v>
      </c>
    </row>
    <row r="20" spans="1:9" x14ac:dyDescent="0.3">
      <c r="A20" s="25">
        <v>3</v>
      </c>
      <c r="B20" s="14" t="s">
        <v>44</v>
      </c>
      <c r="C20" s="14">
        <v>95.89</v>
      </c>
      <c r="G20" s="25">
        <v>27</v>
      </c>
      <c r="H20" s="14" t="s">
        <v>73</v>
      </c>
      <c r="I20" s="14">
        <v>3.75</v>
      </c>
    </row>
    <row r="21" spans="1:9" x14ac:dyDescent="0.3">
      <c r="A21" s="25">
        <v>20</v>
      </c>
      <c r="B21" s="14" t="s">
        <v>66</v>
      </c>
      <c r="C21" s="14">
        <v>96.12</v>
      </c>
      <c r="G21" s="25">
        <v>30</v>
      </c>
      <c r="H21" s="14" t="s">
        <v>4</v>
      </c>
      <c r="I21" s="14">
        <v>5.12</v>
      </c>
    </row>
    <row r="22" spans="1:9" x14ac:dyDescent="0.3">
      <c r="A22" s="25">
        <v>30</v>
      </c>
      <c r="B22" s="14" t="s">
        <v>4</v>
      </c>
      <c r="C22" s="14">
        <v>96.42</v>
      </c>
      <c r="G22" s="25">
        <v>22</v>
      </c>
      <c r="H22" s="14" t="s">
        <v>68</v>
      </c>
      <c r="I22" s="14">
        <v>5.72</v>
      </c>
    </row>
    <row r="23" spans="1:9" x14ac:dyDescent="0.3">
      <c r="A23" s="25">
        <v>7</v>
      </c>
      <c r="B23" s="14" t="s">
        <v>53</v>
      </c>
      <c r="C23" s="14">
        <v>96.63</v>
      </c>
      <c r="G23" s="25">
        <v>1</v>
      </c>
      <c r="H23" s="14" t="s">
        <v>48</v>
      </c>
      <c r="I23" s="14">
        <v>6.7</v>
      </c>
    </row>
    <row r="24" spans="1:9" x14ac:dyDescent="0.3">
      <c r="A24" s="25">
        <v>22</v>
      </c>
      <c r="B24" s="14" t="s">
        <v>68</v>
      </c>
      <c r="C24" s="14">
        <v>97.4</v>
      </c>
      <c r="G24" s="25">
        <v>10</v>
      </c>
      <c r="H24" s="14" t="s">
        <v>56</v>
      </c>
      <c r="I24" s="14">
        <v>7.48</v>
      </c>
    </row>
    <row r="25" spans="1:9" x14ac:dyDescent="0.3">
      <c r="A25" s="25">
        <v>24</v>
      </c>
      <c r="B25" s="14" t="s">
        <v>70</v>
      </c>
      <c r="C25" s="14">
        <v>97.54</v>
      </c>
      <c r="G25" s="25">
        <v>24</v>
      </c>
      <c r="H25" s="14" t="s">
        <v>70</v>
      </c>
      <c r="I25" s="14">
        <v>8</v>
      </c>
    </row>
    <row r="26" spans="1:9" x14ac:dyDescent="0.3">
      <c r="A26" s="25">
        <v>1</v>
      </c>
      <c r="B26" s="14" t="s">
        <v>48</v>
      </c>
      <c r="C26" s="14">
        <v>97.67</v>
      </c>
      <c r="G26" s="25">
        <v>6</v>
      </c>
      <c r="H26" s="14" t="s">
        <v>52</v>
      </c>
      <c r="I26" s="14">
        <v>8.2799999999999994</v>
      </c>
    </row>
    <row r="27" spans="1:9" x14ac:dyDescent="0.3">
      <c r="A27" s="25">
        <v>19</v>
      </c>
      <c r="B27" s="14" t="s">
        <v>65</v>
      </c>
      <c r="C27" s="14">
        <v>97.83</v>
      </c>
      <c r="G27" s="25">
        <v>18</v>
      </c>
      <c r="H27" s="14" t="s">
        <v>64</v>
      </c>
      <c r="I27" s="14">
        <v>10.64</v>
      </c>
    </row>
    <row r="28" spans="1:9" x14ac:dyDescent="0.3">
      <c r="A28" s="25">
        <v>5</v>
      </c>
      <c r="B28" s="14" t="s">
        <v>51</v>
      </c>
      <c r="C28" s="14">
        <v>98.01</v>
      </c>
      <c r="G28" s="25">
        <v>4</v>
      </c>
      <c r="H28" s="14" t="s">
        <v>50</v>
      </c>
      <c r="I28" s="14">
        <v>10.77</v>
      </c>
    </row>
    <row r="29" spans="1:9" x14ac:dyDescent="0.3">
      <c r="A29" s="25">
        <v>35</v>
      </c>
      <c r="B29" s="14" t="s">
        <v>9</v>
      </c>
      <c r="C29" s="14">
        <v>98.1</v>
      </c>
      <c r="G29" s="25">
        <v>2</v>
      </c>
      <c r="H29" s="14" t="s">
        <v>49</v>
      </c>
      <c r="I29" s="14">
        <v>10.9</v>
      </c>
    </row>
    <row r="30" spans="1:9" x14ac:dyDescent="0.3">
      <c r="A30" s="25">
        <v>23</v>
      </c>
      <c r="B30" s="14" t="s">
        <v>69</v>
      </c>
      <c r="C30" s="14">
        <v>98.21</v>
      </c>
      <c r="G30" s="25">
        <v>33</v>
      </c>
      <c r="H30" s="14" t="s">
        <v>7</v>
      </c>
      <c r="I30" s="14">
        <v>11.48</v>
      </c>
    </row>
    <row r="31" spans="1:9" x14ac:dyDescent="0.3">
      <c r="A31" s="25">
        <v>6</v>
      </c>
      <c r="B31" s="14" t="s">
        <v>52</v>
      </c>
      <c r="C31" s="14">
        <v>98.22</v>
      </c>
      <c r="G31" s="25">
        <v>12</v>
      </c>
      <c r="H31" s="14" t="s">
        <v>58</v>
      </c>
      <c r="I31" s="14">
        <v>11.67</v>
      </c>
    </row>
    <row r="32" spans="1:9" x14ac:dyDescent="0.3">
      <c r="A32" s="25">
        <v>27</v>
      </c>
      <c r="B32" s="14" t="s">
        <v>73</v>
      </c>
      <c r="C32" s="14">
        <v>98.24</v>
      </c>
      <c r="G32" s="25">
        <v>34</v>
      </c>
      <c r="H32" s="14" t="s">
        <v>8</v>
      </c>
      <c r="I32" s="14">
        <v>12.43</v>
      </c>
    </row>
    <row r="33" spans="1:9" x14ac:dyDescent="0.3">
      <c r="A33" s="25">
        <v>10</v>
      </c>
      <c r="B33" s="14" t="s">
        <v>56</v>
      </c>
      <c r="C33" s="14">
        <v>98.6</v>
      </c>
      <c r="G33" s="25">
        <v>11</v>
      </c>
      <c r="H33" s="14" t="s">
        <v>57</v>
      </c>
      <c r="I33" s="14">
        <v>14.07</v>
      </c>
    </row>
    <row r="34" spans="1:9" x14ac:dyDescent="0.3">
      <c r="A34" s="25">
        <v>31</v>
      </c>
      <c r="B34" s="14" t="s">
        <v>5</v>
      </c>
      <c r="C34" s="14">
        <v>98.74</v>
      </c>
      <c r="G34" s="25">
        <v>31</v>
      </c>
      <c r="H34" s="14" t="s">
        <v>5</v>
      </c>
      <c r="I34" s="14">
        <v>16.27</v>
      </c>
    </row>
    <row r="35" spans="1:9" x14ac:dyDescent="0.3">
      <c r="A35" s="25">
        <v>16</v>
      </c>
      <c r="B35" s="14" t="s">
        <v>62</v>
      </c>
      <c r="C35" s="14">
        <v>99.3</v>
      </c>
      <c r="G35" s="25">
        <v>21</v>
      </c>
      <c r="H35" s="14" t="s">
        <v>67</v>
      </c>
      <c r="I35" s="14">
        <v>16.91</v>
      </c>
    </row>
    <row r="36" spans="1:9" x14ac:dyDescent="0.3">
      <c r="A36" s="25">
        <v>21</v>
      </c>
      <c r="B36" s="14" t="s">
        <v>67</v>
      </c>
      <c r="C36" s="14">
        <v>99.41</v>
      </c>
      <c r="G36" s="25">
        <v>15</v>
      </c>
      <c r="H36" s="14" t="s">
        <v>61</v>
      </c>
      <c r="I36" s="14">
        <v>17.63</v>
      </c>
    </row>
    <row r="37" spans="1:9" x14ac:dyDescent="0.3">
      <c r="A37" s="25">
        <v>2</v>
      </c>
      <c r="B37" s="14" t="s">
        <v>49</v>
      </c>
      <c r="C37" s="14">
        <v>99.48</v>
      </c>
      <c r="G37" s="25">
        <v>32</v>
      </c>
      <c r="H37" s="14" t="s">
        <v>6</v>
      </c>
      <c r="I37" s="14">
        <v>24.3</v>
      </c>
    </row>
    <row r="38" spans="1:9" x14ac:dyDescent="0.3">
      <c r="A38" s="25">
        <v>12</v>
      </c>
      <c r="B38" s="14" t="s">
        <v>58</v>
      </c>
      <c r="C38" s="14">
        <v>99.54</v>
      </c>
      <c r="G38" s="25">
        <v>16</v>
      </c>
      <c r="H38" s="14" t="s">
        <v>62</v>
      </c>
      <c r="I38" s="14">
        <v>25.77</v>
      </c>
    </row>
    <row r="39" spans="1:9" x14ac:dyDescent="0.3">
      <c r="A39" s="25">
        <v>11</v>
      </c>
      <c r="B39" s="14" t="s">
        <v>57</v>
      </c>
      <c r="C39" s="14">
        <v>99.88</v>
      </c>
      <c r="G39" s="25">
        <v>25</v>
      </c>
      <c r="H39" s="14" t="s">
        <v>71</v>
      </c>
      <c r="I39" s="14">
        <v>84.84</v>
      </c>
    </row>
    <row r="40" spans="1:9" x14ac:dyDescent="0.3">
      <c r="A40" s="15"/>
      <c r="B40" s="15" t="s">
        <v>47</v>
      </c>
      <c r="C40" s="15">
        <v>95.66</v>
      </c>
      <c r="G40" s="15"/>
      <c r="H40" s="15" t="s">
        <v>47</v>
      </c>
      <c r="I40" s="15">
        <v>8.26</v>
      </c>
    </row>
    <row r="41" spans="1:9" x14ac:dyDescent="0.3">
      <c r="A41" s="34"/>
      <c r="B41" s="36" t="s">
        <v>91</v>
      </c>
      <c r="G41" s="34"/>
      <c r="H41" s="36" t="s">
        <v>91</v>
      </c>
    </row>
  </sheetData>
  <sortState xmlns:xlrd2="http://schemas.microsoft.com/office/spreadsheetml/2017/richdata2" ref="G5:I39">
    <sortCondition ref="I5:I39"/>
  </sortState>
  <conditionalFormatting sqref="C5:C40">
    <cfRule type="cellIs" dxfId="16" priority="3" operator="lessThan">
      <formula>90</formula>
    </cfRule>
    <cfRule type="cellIs" dxfId="15" priority="4" operator="greaterThan">
      <formula>90</formula>
    </cfRule>
  </conditionalFormatting>
  <conditionalFormatting sqref="I5:I40">
    <cfRule type="cellIs" dxfId="14" priority="1" operator="lessThan">
      <formula>55</formula>
    </cfRule>
    <cfRule type="cellIs" dxfId="13" priority="2" operator="greaterThan">
      <formula>55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3DC68-0E03-47FD-8525-A34EFE4561BD}">
  <dimension ref="A3:M41"/>
  <sheetViews>
    <sheetView topLeftCell="A49" workbookViewId="0">
      <selection activeCell="K4" sqref="K4:M39"/>
    </sheetView>
  </sheetViews>
  <sheetFormatPr defaultRowHeight="14.4" x14ac:dyDescent="0.3"/>
  <cols>
    <col min="1" max="1" width="5.21875" customWidth="1"/>
    <col min="2" max="2" width="19.21875" customWidth="1"/>
    <col min="3" max="3" width="7" customWidth="1"/>
    <col min="11" max="11" width="5.21875" customWidth="1"/>
    <col min="12" max="12" width="19.21875" customWidth="1"/>
    <col min="13" max="13" width="8.21875" customWidth="1"/>
  </cols>
  <sheetData>
    <row r="3" spans="1:13" x14ac:dyDescent="0.3">
      <c r="A3" s="35" t="s">
        <v>1</v>
      </c>
      <c r="B3" s="35" t="s">
        <v>2</v>
      </c>
      <c r="K3" s="35" t="s">
        <v>1</v>
      </c>
      <c r="L3" s="35" t="s">
        <v>2</v>
      </c>
    </row>
    <row r="4" spans="1:13" ht="29.4" thickBot="1" x14ac:dyDescent="0.35">
      <c r="A4" s="51" t="s">
        <v>1</v>
      </c>
      <c r="B4" s="51" t="s">
        <v>2</v>
      </c>
      <c r="C4" s="53" t="s">
        <v>110</v>
      </c>
      <c r="K4" s="51" t="s">
        <v>1</v>
      </c>
      <c r="L4" s="51" t="s">
        <v>2</v>
      </c>
      <c r="M4" s="53" t="s">
        <v>111</v>
      </c>
    </row>
    <row r="5" spans="1:13" ht="15" thickTop="1" x14ac:dyDescent="0.3">
      <c r="A5" s="44">
        <v>27</v>
      </c>
      <c r="B5" s="45" t="s">
        <v>73</v>
      </c>
      <c r="C5" s="45">
        <v>71.099999999999994</v>
      </c>
      <c r="K5" s="44">
        <v>29</v>
      </c>
      <c r="L5" s="45" t="s">
        <v>75</v>
      </c>
      <c r="M5" s="45">
        <v>88.04</v>
      </c>
    </row>
    <row r="6" spans="1:13" x14ac:dyDescent="0.3">
      <c r="A6" s="25">
        <v>19</v>
      </c>
      <c r="B6" s="14" t="s">
        <v>65</v>
      </c>
      <c r="C6" s="14">
        <v>76.95</v>
      </c>
      <c r="K6" s="25">
        <v>10</v>
      </c>
      <c r="L6" s="14" t="s">
        <v>56</v>
      </c>
      <c r="M6" s="14">
        <v>89.56</v>
      </c>
    </row>
    <row r="7" spans="1:13" x14ac:dyDescent="0.3">
      <c r="A7" s="25">
        <v>15</v>
      </c>
      <c r="B7" s="14" t="s">
        <v>61</v>
      </c>
      <c r="C7" s="14">
        <v>77.91</v>
      </c>
      <c r="K7" s="25">
        <v>3</v>
      </c>
      <c r="L7" s="14" t="s">
        <v>44</v>
      </c>
      <c r="M7" s="14">
        <v>90.03</v>
      </c>
    </row>
    <row r="8" spans="1:13" x14ac:dyDescent="0.3">
      <c r="A8" s="25">
        <v>12</v>
      </c>
      <c r="B8" s="14" t="s">
        <v>58</v>
      </c>
      <c r="C8" s="14">
        <v>77.94</v>
      </c>
      <c r="K8" s="25">
        <v>15</v>
      </c>
      <c r="L8" s="14" t="s">
        <v>61</v>
      </c>
      <c r="M8" s="14">
        <v>90.07</v>
      </c>
    </row>
    <row r="9" spans="1:13" x14ac:dyDescent="0.3">
      <c r="A9" s="25">
        <v>30</v>
      </c>
      <c r="B9" s="14" t="s">
        <v>4</v>
      </c>
      <c r="C9" s="14">
        <v>79.63</v>
      </c>
      <c r="K9" s="25">
        <v>20</v>
      </c>
      <c r="L9" s="14" t="s">
        <v>66</v>
      </c>
      <c r="M9" s="14">
        <v>90.57</v>
      </c>
    </row>
    <row r="10" spans="1:13" x14ac:dyDescent="0.3">
      <c r="A10" s="25">
        <v>23</v>
      </c>
      <c r="B10" s="14" t="s">
        <v>69</v>
      </c>
      <c r="C10" s="14">
        <v>79.819999999999993</v>
      </c>
      <c r="K10" s="25">
        <v>17</v>
      </c>
      <c r="L10" s="14" t="s">
        <v>63</v>
      </c>
      <c r="M10" s="14">
        <v>91.16</v>
      </c>
    </row>
    <row r="11" spans="1:13" x14ac:dyDescent="0.3">
      <c r="A11" s="25">
        <v>32</v>
      </c>
      <c r="B11" s="14" t="s">
        <v>6</v>
      </c>
      <c r="C11" s="14">
        <v>80.95</v>
      </c>
      <c r="K11" s="25">
        <v>16</v>
      </c>
      <c r="L11" s="14" t="s">
        <v>62</v>
      </c>
      <c r="M11" s="14">
        <v>91.35</v>
      </c>
    </row>
    <row r="12" spans="1:13" x14ac:dyDescent="0.3">
      <c r="A12" s="25">
        <v>29</v>
      </c>
      <c r="B12" s="14" t="s">
        <v>75</v>
      </c>
      <c r="C12" s="14">
        <v>86.13</v>
      </c>
      <c r="K12" s="25">
        <v>4</v>
      </c>
      <c r="L12" s="14" t="s">
        <v>50</v>
      </c>
      <c r="M12" s="14">
        <v>91.62</v>
      </c>
    </row>
    <row r="13" spans="1:13" x14ac:dyDescent="0.3">
      <c r="A13" s="25">
        <v>22</v>
      </c>
      <c r="B13" s="14" t="s">
        <v>68</v>
      </c>
      <c r="C13" s="14">
        <v>86.14</v>
      </c>
      <c r="K13" s="25">
        <v>30</v>
      </c>
      <c r="L13" s="14" t="s">
        <v>4</v>
      </c>
      <c r="M13" s="14">
        <v>92.59</v>
      </c>
    </row>
    <row r="14" spans="1:13" x14ac:dyDescent="0.3">
      <c r="A14" s="25">
        <v>24</v>
      </c>
      <c r="B14" s="14" t="s">
        <v>70</v>
      </c>
      <c r="C14" s="14">
        <v>86.39</v>
      </c>
      <c r="K14" s="25">
        <v>25</v>
      </c>
      <c r="L14" s="14" t="s">
        <v>71</v>
      </c>
      <c r="M14" s="14">
        <v>92.61</v>
      </c>
    </row>
    <row r="15" spans="1:13" x14ac:dyDescent="0.3">
      <c r="A15" s="25">
        <v>4</v>
      </c>
      <c r="B15" s="14" t="s">
        <v>50</v>
      </c>
      <c r="C15" s="14">
        <v>87.09</v>
      </c>
      <c r="K15" s="25">
        <v>26</v>
      </c>
      <c r="L15" s="14" t="s">
        <v>72</v>
      </c>
      <c r="M15" s="14">
        <v>92.88</v>
      </c>
    </row>
    <row r="16" spans="1:13" x14ac:dyDescent="0.3">
      <c r="A16" s="25">
        <v>16</v>
      </c>
      <c r="B16" s="14" t="s">
        <v>62</v>
      </c>
      <c r="C16" s="14">
        <v>87.54</v>
      </c>
      <c r="K16" s="25">
        <v>8</v>
      </c>
      <c r="L16" s="14" t="s">
        <v>54</v>
      </c>
      <c r="M16" s="14">
        <v>92.93</v>
      </c>
    </row>
    <row r="17" spans="1:13" x14ac:dyDescent="0.3">
      <c r="A17" s="25">
        <v>18</v>
      </c>
      <c r="B17" s="14" t="s">
        <v>64</v>
      </c>
      <c r="C17" s="14">
        <v>88.3</v>
      </c>
      <c r="K17" s="25">
        <v>19</v>
      </c>
      <c r="L17" s="14" t="s">
        <v>65</v>
      </c>
      <c r="M17" s="14">
        <v>92.93</v>
      </c>
    </row>
    <row r="18" spans="1:13" x14ac:dyDescent="0.3">
      <c r="A18" s="25">
        <v>2</v>
      </c>
      <c r="B18" s="14" t="s">
        <v>49</v>
      </c>
      <c r="C18" s="14">
        <v>88.78</v>
      </c>
      <c r="K18" s="25">
        <v>28</v>
      </c>
      <c r="L18" s="14" t="s">
        <v>74</v>
      </c>
      <c r="M18" s="14">
        <v>93</v>
      </c>
    </row>
    <row r="19" spans="1:13" x14ac:dyDescent="0.3">
      <c r="A19" s="25">
        <v>9</v>
      </c>
      <c r="B19" s="14" t="s">
        <v>55</v>
      </c>
      <c r="C19" s="14">
        <v>89.11</v>
      </c>
      <c r="K19" s="25">
        <v>12</v>
      </c>
      <c r="L19" s="14" t="s">
        <v>58</v>
      </c>
      <c r="M19" s="14">
        <v>93.04</v>
      </c>
    </row>
    <row r="20" spans="1:13" x14ac:dyDescent="0.3">
      <c r="A20" s="25">
        <v>13</v>
      </c>
      <c r="B20" s="14" t="s">
        <v>59</v>
      </c>
      <c r="C20" s="14">
        <v>89.73</v>
      </c>
      <c r="K20" s="25">
        <v>24</v>
      </c>
      <c r="L20" s="14" t="s">
        <v>70</v>
      </c>
      <c r="M20" s="14">
        <v>94.63</v>
      </c>
    </row>
    <row r="21" spans="1:13" x14ac:dyDescent="0.3">
      <c r="A21" s="25">
        <v>25</v>
      </c>
      <c r="B21" s="14" t="s">
        <v>71</v>
      </c>
      <c r="C21" s="14">
        <v>90.17</v>
      </c>
      <c r="K21" s="25">
        <v>5</v>
      </c>
      <c r="L21" s="14" t="s">
        <v>51</v>
      </c>
      <c r="M21" s="14">
        <v>94.72</v>
      </c>
    </row>
    <row r="22" spans="1:13" x14ac:dyDescent="0.3">
      <c r="A22" s="25">
        <v>3</v>
      </c>
      <c r="B22" s="14" t="s">
        <v>44</v>
      </c>
      <c r="C22" s="14">
        <v>90.52</v>
      </c>
      <c r="K22" s="25">
        <v>9</v>
      </c>
      <c r="L22" s="14" t="s">
        <v>55</v>
      </c>
      <c r="M22" s="14">
        <v>94.79</v>
      </c>
    </row>
    <row r="23" spans="1:13" x14ac:dyDescent="0.3">
      <c r="A23" s="25">
        <v>1</v>
      </c>
      <c r="B23" s="14" t="s">
        <v>48</v>
      </c>
      <c r="C23" s="14">
        <v>90.59</v>
      </c>
      <c r="K23" s="25">
        <v>23</v>
      </c>
      <c r="L23" s="14" t="s">
        <v>69</v>
      </c>
      <c r="M23" s="14">
        <v>95.18</v>
      </c>
    </row>
    <row r="24" spans="1:13" x14ac:dyDescent="0.3">
      <c r="A24" s="25">
        <v>7</v>
      </c>
      <c r="B24" s="14" t="s">
        <v>53</v>
      </c>
      <c r="C24" s="14">
        <v>91.08</v>
      </c>
      <c r="K24" s="25">
        <v>18</v>
      </c>
      <c r="L24" s="14" t="s">
        <v>64</v>
      </c>
      <c r="M24" s="14">
        <v>95.37</v>
      </c>
    </row>
    <row r="25" spans="1:13" x14ac:dyDescent="0.3">
      <c r="A25" s="25">
        <v>5</v>
      </c>
      <c r="B25" s="14" t="s">
        <v>51</v>
      </c>
      <c r="C25" s="14">
        <v>91.25</v>
      </c>
      <c r="K25" s="25">
        <v>27</v>
      </c>
      <c r="L25" s="14" t="s">
        <v>73</v>
      </c>
      <c r="M25" s="14">
        <v>95.52</v>
      </c>
    </row>
    <row r="26" spans="1:13" x14ac:dyDescent="0.3">
      <c r="A26" s="25">
        <v>11</v>
      </c>
      <c r="B26" s="14" t="s">
        <v>57</v>
      </c>
      <c r="C26" s="14">
        <v>91.41</v>
      </c>
      <c r="K26" s="25">
        <v>1</v>
      </c>
      <c r="L26" s="14" t="s">
        <v>48</v>
      </c>
      <c r="M26" s="14">
        <v>95.88</v>
      </c>
    </row>
    <row r="27" spans="1:13" x14ac:dyDescent="0.3">
      <c r="A27" s="25">
        <v>31</v>
      </c>
      <c r="B27" s="14" t="s">
        <v>5</v>
      </c>
      <c r="C27" s="14">
        <v>91.58</v>
      </c>
      <c r="K27" s="25">
        <v>13</v>
      </c>
      <c r="L27" s="14" t="s">
        <v>59</v>
      </c>
      <c r="M27" s="14">
        <v>96.18</v>
      </c>
    </row>
    <row r="28" spans="1:13" x14ac:dyDescent="0.3">
      <c r="A28" s="25">
        <v>35</v>
      </c>
      <c r="B28" s="14" t="s">
        <v>9</v>
      </c>
      <c r="C28" s="14">
        <v>92.36</v>
      </c>
      <c r="K28" s="25">
        <v>34</v>
      </c>
      <c r="L28" s="14" t="s">
        <v>8</v>
      </c>
      <c r="M28" s="14">
        <v>96.26</v>
      </c>
    </row>
    <row r="29" spans="1:13" x14ac:dyDescent="0.3">
      <c r="A29" s="25">
        <v>6</v>
      </c>
      <c r="B29" s="14" t="s">
        <v>52</v>
      </c>
      <c r="C29" s="14">
        <v>92.5</v>
      </c>
      <c r="K29" s="25">
        <v>35</v>
      </c>
      <c r="L29" s="14" t="s">
        <v>9</v>
      </c>
      <c r="M29" s="14">
        <v>96.42</v>
      </c>
    </row>
    <row r="30" spans="1:13" x14ac:dyDescent="0.3">
      <c r="A30" s="25">
        <v>26</v>
      </c>
      <c r="B30" s="14" t="s">
        <v>72</v>
      </c>
      <c r="C30" s="14">
        <v>93.2</v>
      </c>
      <c r="K30" s="25">
        <v>6</v>
      </c>
      <c r="L30" s="14" t="s">
        <v>52</v>
      </c>
      <c r="M30" s="14">
        <v>96.63</v>
      </c>
    </row>
    <row r="31" spans="1:13" x14ac:dyDescent="0.3">
      <c r="A31" s="25">
        <v>17</v>
      </c>
      <c r="B31" s="14" t="s">
        <v>63</v>
      </c>
      <c r="C31" s="14">
        <v>93.28</v>
      </c>
      <c r="K31" s="25">
        <v>14</v>
      </c>
      <c r="L31" s="14" t="s">
        <v>60</v>
      </c>
      <c r="M31" s="14">
        <v>96.84</v>
      </c>
    </row>
    <row r="32" spans="1:13" x14ac:dyDescent="0.3">
      <c r="A32" s="25">
        <v>28</v>
      </c>
      <c r="B32" s="14" t="s">
        <v>74</v>
      </c>
      <c r="C32" s="14">
        <v>93.72</v>
      </c>
      <c r="K32" s="25">
        <v>31</v>
      </c>
      <c r="L32" s="14" t="s">
        <v>5</v>
      </c>
      <c r="M32" s="14">
        <v>97.38</v>
      </c>
    </row>
    <row r="33" spans="1:13" x14ac:dyDescent="0.3">
      <c r="A33" s="25">
        <v>21</v>
      </c>
      <c r="B33" s="14" t="s">
        <v>67</v>
      </c>
      <c r="C33" s="14">
        <v>93.94</v>
      </c>
      <c r="K33" s="25">
        <v>21</v>
      </c>
      <c r="L33" s="14" t="s">
        <v>67</v>
      </c>
      <c r="M33" s="14">
        <v>97.44</v>
      </c>
    </row>
    <row r="34" spans="1:13" x14ac:dyDescent="0.3">
      <c r="A34" s="25">
        <v>10</v>
      </c>
      <c r="B34" s="14" t="s">
        <v>56</v>
      </c>
      <c r="C34" s="14">
        <v>94.52</v>
      </c>
      <c r="K34" s="25">
        <v>32</v>
      </c>
      <c r="L34" s="14" t="s">
        <v>6</v>
      </c>
      <c r="M34" s="14">
        <v>97.62</v>
      </c>
    </row>
    <row r="35" spans="1:13" x14ac:dyDescent="0.3">
      <c r="A35" s="25">
        <v>20</v>
      </c>
      <c r="B35" s="14" t="s">
        <v>66</v>
      </c>
      <c r="C35" s="14">
        <v>94.62</v>
      </c>
      <c r="K35" s="25">
        <v>7</v>
      </c>
      <c r="L35" s="14" t="s">
        <v>53</v>
      </c>
      <c r="M35" s="14">
        <v>97.94</v>
      </c>
    </row>
    <row r="36" spans="1:13" x14ac:dyDescent="0.3">
      <c r="A36" s="25">
        <v>8</v>
      </c>
      <c r="B36" s="14" t="s">
        <v>54</v>
      </c>
      <c r="C36" s="14">
        <v>96.38</v>
      </c>
      <c r="K36" s="25">
        <v>2</v>
      </c>
      <c r="L36" s="14" t="s">
        <v>49</v>
      </c>
      <c r="M36" s="14">
        <v>98.18</v>
      </c>
    </row>
    <row r="37" spans="1:13" x14ac:dyDescent="0.3">
      <c r="A37" s="25">
        <v>14</v>
      </c>
      <c r="B37" s="14" t="s">
        <v>60</v>
      </c>
      <c r="C37" s="14">
        <v>96.73</v>
      </c>
      <c r="K37" s="25">
        <v>22</v>
      </c>
      <c r="L37" s="14" t="s">
        <v>68</v>
      </c>
      <c r="M37" s="14">
        <v>98.18</v>
      </c>
    </row>
    <row r="38" spans="1:13" x14ac:dyDescent="0.3">
      <c r="A38" s="25">
        <v>34</v>
      </c>
      <c r="B38" s="14" t="s">
        <v>8</v>
      </c>
      <c r="C38" s="14">
        <v>97.64</v>
      </c>
      <c r="K38" s="25">
        <v>33</v>
      </c>
      <c r="L38" s="14" t="s">
        <v>7</v>
      </c>
      <c r="M38" s="14">
        <v>98.39</v>
      </c>
    </row>
    <row r="39" spans="1:13" x14ac:dyDescent="0.3">
      <c r="A39" s="25">
        <v>33</v>
      </c>
      <c r="B39" s="14" t="s">
        <v>7</v>
      </c>
      <c r="C39" s="14">
        <v>97.65</v>
      </c>
      <c r="K39" s="25">
        <v>11</v>
      </c>
      <c r="L39" s="14" t="s">
        <v>57</v>
      </c>
      <c r="M39" s="14">
        <v>98.5</v>
      </c>
    </row>
    <row r="40" spans="1:13" x14ac:dyDescent="0.3">
      <c r="A40" s="15"/>
      <c r="B40" s="15" t="s">
        <v>47</v>
      </c>
      <c r="C40" s="15">
        <v>89.82</v>
      </c>
      <c r="K40" s="15"/>
      <c r="L40" s="15" t="s">
        <v>47</v>
      </c>
      <c r="M40" s="15">
        <v>94.54</v>
      </c>
    </row>
    <row r="41" spans="1:13" x14ac:dyDescent="0.3">
      <c r="A41" s="34"/>
      <c r="B41" s="36" t="s">
        <v>91</v>
      </c>
      <c r="K41" s="34"/>
      <c r="L41" s="36" t="s">
        <v>91</v>
      </c>
    </row>
  </sheetData>
  <sortState xmlns:xlrd2="http://schemas.microsoft.com/office/spreadsheetml/2017/richdata2" ref="K5:M39">
    <sortCondition ref="M5:M39"/>
  </sortState>
  <conditionalFormatting sqref="C5:C40">
    <cfRule type="cellIs" dxfId="12" priority="2" operator="lessThan">
      <formula>76</formula>
    </cfRule>
    <cfRule type="cellIs" dxfId="11" priority="3" operator="greaterThan">
      <formula>76</formula>
    </cfRule>
  </conditionalFormatting>
  <conditionalFormatting sqref="M5:M40">
    <cfRule type="cellIs" dxfId="10" priority="1" operator="greaterThan">
      <formula>76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1E4C6-2F31-42DA-85EB-5C791FA170DC}">
  <dimension ref="A3:Q41"/>
  <sheetViews>
    <sheetView topLeftCell="A49" workbookViewId="0">
      <selection activeCell="O4" sqref="O4:Q39"/>
    </sheetView>
  </sheetViews>
  <sheetFormatPr defaultRowHeight="14.4" x14ac:dyDescent="0.3"/>
  <cols>
    <col min="1" max="1" width="5.21875" customWidth="1"/>
    <col min="2" max="2" width="19.21875" customWidth="1"/>
    <col min="3" max="3" width="12.44140625" customWidth="1"/>
    <col min="8" max="8" width="5.21875" customWidth="1"/>
    <col min="9" max="9" width="19.21875" customWidth="1"/>
    <col min="10" max="10" width="9.77734375" customWidth="1"/>
    <col min="15" max="15" width="5.21875" customWidth="1"/>
    <col min="16" max="16" width="19.21875" customWidth="1"/>
    <col min="17" max="17" width="9.77734375" customWidth="1"/>
  </cols>
  <sheetData>
    <row r="3" spans="1:17" x14ac:dyDescent="0.3">
      <c r="A3" s="35" t="s">
        <v>1</v>
      </c>
      <c r="B3" s="35" t="s">
        <v>2</v>
      </c>
      <c r="H3" s="35" t="s">
        <v>1</v>
      </c>
      <c r="I3" s="35" t="s">
        <v>2</v>
      </c>
      <c r="O3" s="35" t="s">
        <v>1</v>
      </c>
      <c r="P3" s="35" t="s">
        <v>2</v>
      </c>
    </row>
    <row r="4" spans="1:17" ht="43.8" thickBot="1" x14ac:dyDescent="0.35">
      <c r="A4" s="51" t="s">
        <v>1</v>
      </c>
      <c r="B4" s="51" t="s">
        <v>2</v>
      </c>
      <c r="C4" s="52" t="s">
        <v>114</v>
      </c>
      <c r="H4" s="51" t="s">
        <v>1</v>
      </c>
      <c r="I4" s="51" t="s">
        <v>2</v>
      </c>
      <c r="J4" s="52" t="s">
        <v>113</v>
      </c>
      <c r="O4" s="51" t="s">
        <v>1</v>
      </c>
      <c r="P4" s="51" t="s">
        <v>2</v>
      </c>
      <c r="Q4" s="52" t="s">
        <v>112</v>
      </c>
    </row>
    <row r="5" spans="1:17" ht="15" thickTop="1" x14ac:dyDescent="0.3">
      <c r="A5" s="44">
        <v>21</v>
      </c>
      <c r="B5" s="45" t="s">
        <v>67</v>
      </c>
      <c r="C5" s="45">
        <v>0.01</v>
      </c>
      <c r="H5" s="44">
        <v>21</v>
      </c>
      <c r="I5" s="45" t="s">
        <v>67</v>
      </c>
      <c r="J5" s="45">
        <v>0</v>
      </c>
      <c r="O5" s="44">
        <v>35</v>
      </c>
      <c r="P5" s="45" t="s">
        <v>9</v>
      </c>
      <c r="Q5" s="45">
        <v>0.45</v>
      </c>
    </row>
    <row r="6" spans="1:17" x14ac:dyDescent="0.3">
      <c r="A6" s="25">
        <v>23</v>
      </c>
      <c r="B6" s="14" t="s">
        <v>69</v>
      </c>
      <c r="C6" s="14">
        <v>0.02</v>
      </c>
      <c r="H6" s="25">
        <v>26</v>
      </c>
      <c r="I6" s="14" t="s">
        <v>72</v>
      </c>
      <c r="J6" s="14">
        <v>0.64</v>
      </c>
      <c r="O6" s="25">
        <v>27</v>
      </c>
      <c r="P6" s="14" t="s">
        <v>73</v>
      </c>
      <c r="Q6" s="14">
        <v>1.36</v>
      </c>
    </row>
    <row r="7" spans="1:17" x14ac:dyDescent="0.3">
      <c r="A7" s="25">
        <v>15</v>
      </c>
      <c r="B7" s="14" t="s">
        <v>61</v>
      </c>
      <c r="C7" s="14">
        <v>0.05</v>
      </c>
      <c r="H7" s="25">
        <v>24</v>
      </c>
      <c r="I7" s="14" t="s">
        <v>70</v>
      </c>
      <c r="J7" s="14">
        <v>2.6</v>
      </c>
      <c r="O7" s="25">
        <v>28</v>
      </c>
      <c r="P7" s="14" t="s">
        <v>74</v>
      </c>
      <c r="Q7" s="14">
        <v>3.55</v>
      </c>
    </row>
    <row r="8" spans="1:17" x14ac:dyDescent="0.3">
      <c r="A8" s="25">
        <v>27</v>
      </c>
      <c r="B8" s="14" t="s">
        <v>73</v>
      </c>
      <c r="C8" s="14">
        <v>0.83</v>
      </c>
      <c r="H8" s="25">
        <v>27</v>
      </c>
      <c r="I8" s="14" t="s">
        <v>73</v>
      </c>
      <c r="J8" s="14">
        <v>2.68</v>
      </c>
      <c r="O8" s="25">
        <v>24</v>
      </c>
      <c r="P8" s="14" t="s">
        <v>70</v>
      </c>
      <c r="Q8" s="14">
        <v>3.85</v>
      </c>
    </row>
    <row r="9" spans="1:17" x14ac:dyDescent="0.3">
      <c r="A9" s="25">
        <v>26</v>
      </c>
      <c r="B9" s="14" t="s">
        <v>72</v>
      </c>
      <c r="C9" s="14">
        <v>0.86</v>
      </c>
      <c r="H9" s="25">
        <v>28</v>
      </c>
      <c r="I9" s="14" t="s">
        <v>74</v>
      </c>
      <c r="J9" s="14">
        <v>3.06</v>
      </c>
      <c r="O9" s="25">
        <v>19</v>
      </c>
      <c r="P9" s="14" t="s">
        <v>65</v>
      </c>
      <c r="Q9" s="14">
        <v>3.92</v>
      </c>
    </row>
    <row r="10" spans="1:17" x14ac:dyDescent="0.3">
      <c r="A10" s="25">
        <v>8</v>
      </c>
      <c r="B10" s="14" t="s">
        <v>54</v>
      </c>
      <c r="C10" s="14">
        <v>1.24</v>
      </c>
      <c r="H10" s="25">
        <v>35</v>
      </c>
      <c r="I10" s="14" t="s">
        <v>9</v>
      </c>
      <c r="J10" s="14">
        <v>3.11</v>
      </c>
      <c r="O10" s="25">
        <v>29</v>
      </c>
      <c r="P10" s="14" t="s">
        <v>75</v>
      </c>
      <c r="Q10" s="14">
        <v>4.18</v>
      </c>
    </row>
    <row r="11" spans="1:17" x14ac:dyDescent="0.3">
      <c r="A11" s="25">
        <v>7</v>
      </c>
      <c r="B11" s="14" t="s">
        <v>53</v>
      </c>
      <c r="C11" s="14">
        <v>1.37</v>
      </c>
      <c r="H11" s="25">
        <v>2</v>
      </c>
      <c r="I11" s="14" t="s">
        <v>49</v>
      </c>
      <c r="J11" s="14">
        <v>3.59</v>
      </c>
      <c r="O11" s="25">
        <v>26</v>
      </c>
      <c r="P11" s="14" t="s">
        <v>72</v>
      </c>
      <c r="Q11" s="14">
        <v>4.6900000000000004</v>
      </c>
    </row>
    <row r="12" spans="1:17" x14ac:dyDescent="0.3">
      <c r="A12" s="25">
        <v>1</v>
      </c>
      <c r="B12" s="14" t="s">
        <v>48</v>
      </c>
      <c r="C12" s="14">
        <v>1.51</v>
      </c>
      <c r="H12" s="25">
        <v>8</v>
      </c>
      <c r="I12" s="14" t="s">
        <v>54</v>
      </c>
      <c r="J12" s="14">
        <v>3.81</v>
      </c>
      <c r="O12" s="25">
        <v>15</v>
      </c>
      <c r="P12" s="14" t="s">
        <v>61</v>
      </c>
      <c r="Q12" s="14">
        <v>4.75</v>
      </c>
    </row>
    <row r="13" spans="1:17" x14ac:dyDescent="0.3">
      <c r="A13" s="25">
        <v>18</v>
      </c>
      <c r="B13" s="14" t="s">
        <v>64</v>
      </c>
      <c r="C13" s="14">
        <v>1.53</v>
      </c>
      <c r="H13" s="25">
        <v>29</v>
      </c>
      <c r="I13" s="14" t="s">
        <v>75</v>
      </c>
      <c r="J13" s="14">
        <v>4.13</v>
      </c>
      <c r="O13" s="25">
        <v>8</v>
      </c>
      <c r="P13" s="14" t="s">
        <v>54</v>
      </c>
      <c r="Q13" s="14">
        <v>4.84</v>
      </c>
    </row>
    <row r="14" spans="1:17" x14ac:dyDescent="0.3">
      <c r="A14" s="25">
        <v>3</v>
      </c>
      <c r="B14" s="14" t="s">
        <v>44</v>
      </c>
      <c r="C14" s="14">
        <v>1.58</v>
      </c>
      <c r="H14" s="25">
        <v>7</v>
      </c>
      <c r="I14" s="14" t="s">
        <v>53</v>
      </c>
      <c r="J14" s="14">
        <v>4.63</v>
      </c>
      <c r="O14" s="25">
        <v>7</v>
      </c>
      <c r="P14" s="14" t="s">
        <v>53</v>
      </c>
      <c r="Q14" s="14">
        <v>5.5</v>
      </c>
    </row>
    <row r="15" spans="1:17" x14ac:dyDescent="0.3">
      <c r="A15" s="25">
        <v>29</v>
      </c>
      <c r="B15" s="14" t="s">
        <v>75</v>
      </c>
      <c r="C15" s="14">
        <v>1.7</v>
      </c>
      <c r="H15" s="25">
        <v>14</v>
      </c>
      <c r="I15" s="14" t="s">
        <v>60</v>
      </c>
      <c r="J15" s="14">
        <v>5.49</v>
      </c>
      <c r="O15" s="25">
        <v>5</v>
      </c>
      <c r="P15" s="14" t="s">
        <v>51</v>
      </c>
      <c r="Q15" s="14">
        <v>5.94</v>
      </c>
    </row>
    <row r="16" spans="1:17" x14ac:dyDescent="0.3">
      <c r="A16" s="25">
        <v>2</v>
      </c>
      <c r="B16" s="14" t="s">
        <v>49</v>
      </c>
      <c r="C16" s="14">
        <v>1.76</v>
      </c>
      <c r="H16" s="25">
        <v>5</v>
      </c>
      <c r="I16" s="14" t="s">
        <v>51</v>
      </c>
      <c r="J16" s="14">
        <v>6.68</v>
      </c>
      <c r="O16" s="25">
        <v>34</v>
      </c>
      <c r="P16" s="14" t="s">
        <v>8</v>
      </c>
      <c r="Q16" s="14">
        <v>7.38</v>
      </c>
    </row>
    <row r="17" spans="1:17" x14ac:dyDescent="0.3">
      <c r="A17" s="25">
        <v>34</v>
      </c>
      <c r="B17" s="14" t="s">
        <v>8</v>
      </c>
      <c r="C17" s="14">
        <v>1.76</v>
      </c>
      <c r="H17" s="25">
        <v>34</v>
      </c>
      <c r="I17" s="14" t="s">
        <v>8</v>
      </c>
      <c r="J17" s="14">
        <v>6.74</v>
      </c>
      <c r="O17" s="25">
        <v>2</v>
      </c>
      <c r="P17" s="14" t="s">
        <v>49</v>
      </c>
      <c r="Q17" s="14">
        <v>7.82</v>
      </c>
    </row>
    <row r="18" spans="1:17" x14ac:dyDescent="0.3">
      <c r="A18" s="25">
        <v>25</v>
      </c>
      <c r="B18" s="14" t="s">
        <v>71</v>
      </c>
      <c r="C18" s="14">
        <v>1.92</v>
      </c>
      <c r="H18" s="25">
        <v>4</v>
      </c>
      <c r="I18" s="14" t="s">
        <v>50</v>
      </c>
      <c r="J18" s="14">
        <v>6.78</v>
      </c>
      <c r="O18" s="25">
        <v>1</v>
      </c>
      <c r="P18" s="14" t="s">
        <v>48</v>
      </c>
      <c r="Q18" s="14">
        <v>8.2799999999999994</v>
      </c>
    </row>
    <row r="19" spans="1:17" x14ac:dyDescent="0.3">
      <c r="A19" s="25">
        <v>17</v>
      </c>
      <c r="B19" s="14" t="s">
        <v>63</v>
      </c>
      <c r="C19" s="14">
        <v>1.96</v>
      </c>
      <c r="H19" s="25">
        <v>23</v>
      </c>
      <c r="I19" s="14" t="s">
        <v>69</v>
      </c>
      <c r="J19" s="14">
        <v>6.92</v>
      </c>
      <c r="O19" s="25">
        <v>18</v>
      </c>
      <c r="P19" s="14" t="s">
        <v>64</v>
      </c>
      <c r="Q19" s="14">
        <v>9.1999999999999993</v>
      </c>
    </row>
    <row r="20" spans="1:17" x14ac:dyDescent="0.3">
      <c r="A20" s="25">
        <v>10</v>
      </c>
      <c r="B20" s="14" t="s">
        <v>56</v>
      </c>
      <c r="C20" s="14">
        <v>2.5099999999999998</v>
      </c>
      <c r="H20" s="25">
        <v>11</v>
      </c>
      <c r="I20" s="14" t="s">
        <v>57</v>
      </c>
      <c r="J20" s="14">
        <v>7.01</v>
      </c>
      <c r="O20" s="25">
        <v>13</v>
      </c>
      <c r="P20" s="14" t="s">
        <v>59</v>
      </c>
      <c r="Q20" s="14">
        <v>9.84</v>
      </c>
    </row>
    <row r="21" spans="1:17" x14ac:dyDescent="0.3">
      <c r="A21" s="25">
        <v>22</v>
      </c>
      <c r="B21" s="14" t="s">
        <v>68</v>
      </c>
      <c r="C21" s="14">
        <v>2.5499999999999998</v>
      </c>
      <c r="H21" s="25">
        <v>3</v>
      </c>
      <c r="I21" s="14" t="s">
        <v>44</v>
      </c>
      <c r="J21" s="14">
        <v>7.99</v>
      </c>
      <c r="O21" s="25">
        <v>12</v>
      </c>
      <c r="P21" s="14" t="s">
        <v>58</v>
      </c>
      <c r="Q21" s="14">
        <v>10.25</v>
      </c>
    </row>
    <row r="22" spans="1:17" x14ac:dyDescent="0.3">
      <c r="A22" s="25">
        <v>16</v>
      </c>
      <c r="B22" s="14" t="s">
        <v>62</v>
      </c>
      <c r="C22" s="14">
        <v>2.76</v>
      </c>
      <c r="H22" s="25">
        <v>18</v>
      </c>
      <c r="I22" s="14" t="s">
        <v>64</v>
      </c>
      <c r="J22" s="14">
        <v>8.2100000000000009</v>
      </c>
      <c r="O22" s="25">
        <v>10</v>
      </c>
      <c r="P22" s="14" t="s">
        <v>56</v>
      </c>
      <c r="Q22" s="14">
        <v>10.52</v>
      </c>
    </row>
    <row r="23" spans="1:17" x14ac:dyDescent="0.3">
      <c r="A23" s="25">
        <v>28</v>
      </c>
      <c r="B23" s="14" t="s">
        <v>74</v>
      </c>
      <c r="C23" s="14">
        <v>2.81</v>
      </c>
      <c r="H23" s="25">
        <v>16</v>
      </c>
      <c r="I23" s="14" t="s">
        <v>62</v>
      </c>
      <c r="J23" s="14">
        <v>8.43</v>
      </c>
      <c r="O23" s="25">
        <v>14</v>
      </c>
      <c r="P23" s="14" t="s">
        <v>60</v>
      </c>
      <c r="Q23" s="14">
        <v>10.61</v>
      </c>
    </row>
    <row r="24" spans="1:17" x14ac:dyDescent="0.3">
      <c r="A24" s="25">
        <v>12</v>
      </c>
      <c r="B24" s="14" t="s">
        <v>58</v>
      </c>
      <c r="C24" s="14">
        <v>3.1</v>
      </c>
      <c r="H24" s="25">
        <v>13</v>
      </c>
      <c r="I24" s="14" t="s">
        <v>59</v>
      </c>
      <c r="J24" s="14">
        <v>8.65</v>
      </c>
      <c r="O24" s="25">
        <v>4</v>
      </c>
      <c r="P24" s="14" t="s">
        <v>50</v>
      </c>
      <c r="Q24" s="14">
        <v>10.78</v>
      </c>
    </row>
    <row r="25" spans="1:17" x14ac:dyDescent="0.3">
      <c r="A25" s="25">
        <v>24</v>
      </c>
      <c r="B25" s="14" t="s">
        <v>70</v>
      </c>
      <c r="C25" s="14">
        <v>3.29</v>
      </c>
      <c r="H25" s="25">
        <v>6</v>
      </c>
      <c r="I25" s="14" t="s">
        <v>52</v>
      </c>
      <c r="J25" s="14">
        <v>8.7200000000000006</v>
      </c>
      <c r="O25" s="25">
        <v>3</v>
      </c>
      <c r="P25" s="14" t="s">
        <v>44</v>
      </c>
      <c r="Q25" s="14">
        <v>11.46</v>
      </c>
    </row>
    <row r="26" spans="1:17" x14ac:dyDescent="0.3">
      <c r="A26" s="25">
        <v>11</v>
      </c>
      <c r="B26" s="14" t="s">
        <v>57</v>
      </c>
      <c r="C26" s="14">
        <v>3.69</v>
      </c>
      <c r="H26" s="25">
        <v>1</v>
      </c>
      <c r="I26" s="14" t="s">
        <v>48</v>
      </c>
      <c r="J26" s="14">
        <v>8.74</v>
      </c>
      <c r="O26" s="25">
        <v>6</v>
      </c>
      <c r="P26" s="14" t="s">
        <v>52</v>
      </c>
      <c r="Q26" s="14">
        <v>11.46</v>
      </c>
    </row>
    <row r="27" spans="1:17" x14ac:dyDescent="0.3">
      <c r="A27" s="25">
        <v>4</v>
      </c>
      <c r="B27" s="14" t="s">
        <v>50</v>
      </c>
      <c r="C27" s="14">
        <v>3.86</v>
      </c>
      <c r="H27" s="25">
        <v>10</v>
      </c>
      <c r="I27" s="14" t="s">
        <v>56</v>
      </c>
      <c r="J27" s="14">
        <v>9.5399999999999991</v>
      </c>
      <c r="O27" s="25">
        <v>9</v>
      </c>
      <c r="P27" s="14" t="s">
        <v>55</v>
      </c>
      <c r="Q27" s="14">
        <v>12.08</v>
      </c>
    </row>
    <row r="28" spans="1:17" x14ac:dyDescent="0.3">
      <c r="A28" s="25">
        <v>19</v>
      </c>
      <c r="B28" s="14" t="s">
        <v>65</v>
      </c>
      <c r="C28" s="14">
        <v>4.0599999999999996</v>
      </c>
      <c r="H28" s="25">
        <v>19</v>
      </c>
      <c r="I28" s="14" t="s">
        <v>65</v>
      </c>
      <c r="J28" s="14">
        <v>10.4</v>
      </c>
      <c r="O28" s="25">
        <v>16</v>
      </c>
      <c r="P28" s="14" t="s">
        <v>62</v>
      </c>
      <c r="Q28" s="14">
        <v>12.17</v>
      </c>
    </row>
    <row r="29" spans="1:17" x14ac:dyDescent="0.3">
      <c r="A29" s="25">
        <v>14</v>
      </c>
      <c r="B29" s="14" t="s">
        <v>60</v>
      </c>
      <c r="C29" s="14">
        <v>4.8099999999999996</v>
      </c>
      <c r="H29" s="25">
        <v>22</v>
      </c>
      <c r="I29" s="14" t="s">
        <v>68</v>
      </c>
      <c r="J29" s="14">
        <v>10.64</v>
      </c>
      <c r="O29" s="25">
        <v>23</v>
      </c>
      <c r="P29" s="14" t="s">
        <v>69</v>
      </c>
      <c r="Q29" s="14">
        <v>12.18</v>
      </c>
    </row>
    <row r="30" spans="1:17" x14ac:dyDescent="0.3">
      <c r="A30" s="25">
        <v>5</v>
      </c>
      <c r="B30" s="14" t="s">
        <v>51</v>
      </c>
      <c r="C30" s="14">
        <v>4.83</v>
      </c>
      <c r="H30" s="25">
        <v>25</v>
      </c>
      <c r="I30" s="14" t="s">
        <v>71</v>
      </c>
      <c r="J30" s="14">
        <v>11.28</v>
      </c>
      <c r="O30" s="25">
        <v>17</v>
      </c>
      <c r="P30" s="14" t="s">
        <v>63</v>
      </c>
      <c r="Q30" s="14">
        <v>12.51</v>
      </c>
    </row>
    <row r="31" spans="1:17" x14ac:dyDescent="0.3">
      <c r="A31" s="25">
        <v>13</v>
      </c>
      <c r="B31" s="14" t="s">
        <v>59</v>
      </c>
      <c r="C31" s="14">
        <v>5.37</v>
      </c>
      <c r="H31" s="25">
        <v>9</v>
      </c>
      <c r="I31" s="14" t="s">
        <v>55</v>
      </c>
      <c r="J31" s="14">
        <v>11.49</v>
      </c>
      <c r="O31" s="25">
        <v>30</v>
      </c>
      <c r="P31" s="14" t="s">
        <v>4</v>
      </c>
      <c r="Q31" s="14">
        <v>13.13</v>
      </c>
    </row>
    <row r="32" spans="1:17" x14ac:dyDescent="0.3">
      <c r="A32" s="25">
        <v>6</v>
      </c>
      <c r="B32" s="14" t="s">
        <v>52</v>
      </c>
      <c r="C32" s="14">
        <v>5.41</v>
      </c>
      <c r="H32" s="25">
        <v>17</v>
      </c>
      <c r="I32" s="14" t="s">
        <v>63</v>
      </c>
      <c r="J32" s="14">
        <v>11.63</v>
      </c>
      <c r="O32" s="25">
        <v>22</v>
      </c>
      <c r="P32" s="14" t="s">
        <v>68</v>
      </c>
      <c r="Q32" s="14">
        <v>13.72</v>
      </c>
    </row>
    <row r="33" spans="1:17" x14ac:dyDescent="0.3">
      <c r="A33" s="25">
        <v>35</v>
      </c>
      <c r="B33" s="14" t="s">
        <v>9</v>
      </c>
      <c r="C33" s="14">
        <v>5.55</v>
      </c>
      <c r="H33" s="25">
        <v>15</v>
      </c>
      <c r="I33" s="14" t="s">
        <v>61</v>
      </c>
      <c r="J33" s="14">
        <v>12.73</v>
      </c>
      <c r="O33" s="25">
        <v>20</v>
      </c>
      <c r="P33" s="14" t="s">
        <v>66</v>
      </c>
      <c r="Q33" s="14">
        <v>14.87</v>
      </c>
    </row>
    <row r="34" spans="1:17" x14ac:dyDescent="0.3">
      <c r="A34" s="25">
        <v>20</v>
      </c>
      <c r="B34" s="14" t="s">
        <v>66</v>
      </c>
      <c r="C34" s="14">
        <v>6.3</v>
      </c>
      <c r="H34" s="25">
        <v>12</v>
      </c>
      <c r="I34" s="14" t="s">
        <v>58</v>
      </c>
      <c r="J34" s="14">
        <v>14.69</v>
      </c>
      <c r="O34" s="25">
        <v>11</v>
      </c>
      <c r="P34" s="14" t="s">
        <v>57</v>
      </c>
      <c r="Q34" s="14">
        <v>17.29</v>
      </c>
    </row>
    <row r="35" spans="1:17" x14ac:dyDescent="0.3">
      <c r="A35" s="25">
        <v>30</v>
      </c>
      <c r="B35" s="14" t="s">
        <v>4</v>
      </c>
      <c r="C35" s="14">
        <v>6.67</v>
      </c>
      <c r="H35" s="25">
        <v>20</v>
      </c>
      <c r="I35" s="14" t="s">
        <v>66</v>
      </c>
      <c r="J35" s="14">
        <v>17.04</v>
      </c>
      <c r="O35" s="25">
        <v>32</v>
      </c>
      <c r="P35" s="14" t="s">
        <v>6</v>
      </c>
      <c r="Q35" s="14">
        <v>19.18</v>
      </c>
    </row>
    <row r="36" spans="1:17" x14ac:dyDescent="0.3">
      <c r="A36" s="25">
        <v>9</v>
      </c>
      <c r="B36" s="14" t="s">
        <v>55</v>
      </c>
      <c r="C36" s="14">
        <v>7.11</v>
      </c>
      <c r="H36" s="25">
        <v>30</v>
      </c>
      <c r="I36" s="14" t="s">
        <v>4</v>
      </c>
      <c r="J36" s="14">
        <v>18.559999999999999</v>
      </c>
      <c r="O36" s="25">
        <v>25</v>
      </c>
      <c r="P36" s="14" t="s">
        <v>71</v>
      </c>
      <c r="Q36" s="14">
        <v>19.71</v>
      </c>
    </row>
    <row r="37" spans="1:17" x14ac:dyDescent="0.3">
      <c r="A37" s="25">
        <v>33</v>
      </c>
      <c r="B37" s="14" t="s">
        <v>7</v>
      </c>
      <c r="C37" s="14">
        <v>9.82</v>
      </c>
      <c r="H37" s="25">
        <v>31</v>
      </c>
      <c r="I37" s="14" t="s">
        <v>5</v>
      </c>
      <c r="J37" s="14">
        <v>20.71</v>
      </c>
      <c r="O37" s="25">
        <v>21</v>
      </c>
      <c r="P37" s="14" t="s">
        <v>67</v>
      </c>
      <c r="Q37" s="14">
        <v>21.07</v>
      </c>
    </row>
    <row r="38" spans="1:17" x14ac:dyDescent="0.3">
      <c r="A38" s="25">
        <v>32</v>
      </c>
      <c r="B38" s="14" t="s">
        <v>6</v>
      </c>
      <c r="C38" s="14">
        <v>11.19</v>
      </c>
      <c r="H38" s="25">
        <v>32</v>
      </c>
      <c r="I38" s="14" t="s">
        <v>6</v>
      </c>
      <c r="J38" s="14">
        <v>22.42</v>
      </c>
      <c r="O38" s="25">
        <v>33</v>
      </c>
      <c r="P38" s="14" t="s">
        <v>7</v>
      </c>
      <c r="Q38" s="14">
        <v>24.84</v>
      </c>
    </row>
    <row r="39" spans="1:17" x14ac:dyDescent="0.3">
      <c r="A39" s="25">
        <v>31</v>
      </c>
      <c r="B39" s="14" t="s">
        <v>5</v>
      </c>
      <c r="C39" s="14">
        <v>18.399999999999999</v>
      </c>
      <c r="H39" s="25">
        <v>33</v>
      </c>
      <c r="I39" s="14" t="s">
        <v>7</v>
      </c>
      <c r="J39" s="14">
        <v>25.72</v>
      </c>
      <c r="O39" s="25">
        <v>31</v>
      </c>
      <c r="P39" s="14" t="s">
        <v>5</v>
      </c>
      <c r="Q39" s="14">
        <v>25.87</v>
      </c>
    </row>
    <row r="40" spans="1:17" x14ac:dyDescent="0.3">
      <c r="A40" s="15"/>
      <c r="B40" s="15" t="s">
        <v>47</v>
      </c>
      <c r="C40" s="15">
        <v>2.85</v>
      </c>
      <c r="H40" s="15"/>
      <c r="I40" s="15" t="s">
        <v>47</v>
      </c>
      <c r="J40" s="15">
        <v>7.43</v>
      </c>
      <c r="O40" s="15"/>
      <c r="P40" s="15" t="s">
        <v>47</v>
      </c>
      <c r="Q40" s="15">
        <v>9.24</v>
      </c>
    </row>
    <row r="41" spans="1:17" x14ac:dyDescent="0.3">
      <c r="A41" s="34"/>
      <c r="B41" s="36" t="s">
        <v>91</v>
      </c>
      <c r="H41" s="34"/>
      <c r="I41" s="36" t="s">
        <v>91</v>
      </c>
      <c r="O41" s="34"/>
      <c r="P41" s="36" t="s">
        <v>91</v>
      </c>
    </row>
  </sheetData>
  <sortState xmlns:xlrd2="http://schemas.microsoft.com/office/spreadsheetml/2017/richdata2" ref="O5:Q39">
    <sortCondition ref="Q5:Q39"/>
  </sortState>
  <conditionalFormatting sqref="C5:C40">
    <cfRule type="cellIs" dxfId="9" priority="1" operator="lessThan">
      <formula>70</formula>
    </cfRule>
  </conditionalFormatting>
  <conditionalFormatting sqref="J5:J40">
    <cfRule type="cellIs" dxfId="8" priority="2" operator="lessThan">
      <formula>70</formula>
    </cfRule>
  </conditionalFormatting>
  <conditionalFormatting sqref="Q5:Q40">
    <cfRule type="cellIs" dxfId="7" priority="3" operator="lessThan">
      <formula>70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74C67-8D29-477A-BEA4-0301C380EB15}">
  <dimension ref="A3:C41"/>
  <sheetViews>
    <sheetView topLeftCell="A25" workbookViewId="0">
      <selection activeCell="D4" sqref="D4"/>
    </sheetView>
  </sheetViews>
  <sheetFormatPr defaultRowHeight="14.4" x14ac:dyDescent="0.3"/>
  <cols>
    <col min="1" max="1" width="5.21875" customWidth="1"/>
    <col min="2" max="2" width="19.21875" customWidth="1"/>
    <col min="3" max="3" width="11.21875" customWidth="1"/>
  </cols>
  <sheetData>
    <row r="3" spans="1:3" x14ac:dyDescent="0.3">
      <c r="A3" s="35" t="s">
        <v>1</v>
      </c>
      <c r="B3" s="35" t="s">
        <v>2</v>
      </c>
    </row>
    <row r="4" spans="1:3" ht="29.4" thickBot="1" x14ac:dyDescent="0.35">
      <c r="A4" s="51" t="s">
        <v>1</v>
      </c>
      <c r="B4" s="51" t="s">
        <v>2</v>
      </c>
      <c r="C4" s="52" t="s">
        <v>198</v>
      </c>
    </row>
    <row r="5" spans="1:3" ht="15" thickTop="1" x14ac:dyDescent="0.3">
      <c r="A5" s="44">
        <v>22</v>
      </c>
      <c r="B5" s="45" t="s">
        <v>68</v>
      </c>
      <c r="C5" s="45">
        <v>0</v>
      </c>
    </row>
    <row r="6" spans="1:3" x14ac:dyDescent="0.3">
      <c r="A6" s="25">
        <v>30</v>
      </c>
      <c r="B6" s="14" t="s">
        <v>4</v>
      </c>
      <c r="C6" s="14">
        <v>0</v>
      </c>
    </row>
    <row r="7" spans="1:3" x14ac:dyDescent="0.3">
      <c r="A7" s="25">
        <v>31</v>
      </c>
      <c r="B7" s="14" t="s">
        <v>5</v>
      </c>
      <c r="C7" s="14">
        <v>0</v>
      </c>
    </row>
    <row r="8" spans="1:3" x14ac:dyDescent="0.3">
      <c r="A8" s="25">
        <v>8</v>
      </c>
      <c r="B8" s="14" t="s">
        <v>54</v>
      </c>
      <c r="C8" s="14">
        <v>0.52</v>
      </c>
    </row>
    <row r="9" spans="1:3" x14ac:dyDescent="0.3">
      <c r="A9" s="25">
        <v>20</v>
      </c>
      <c r="B9" s="14" t="s">
        <v>66</v>
      </c>
      <c r="C9" s="14">
        <v>0.71</v>
      </c>
    </row>
    <row r="10" spans="1:3" x14ac:dyDescent="0.3">
      <c r="A10" s="25">
        <v>35</v>
      </c>
      <c r="B10" s="14" t="s">
        <v>9</v>
      </c>
      <c r="C10" s="14">
        <v>1.67</v>
      </c>
    </row>
    <row r="11" spans="1:3" x14ac:dyDescent="0.3">
      <c r="A11" s="25">
        <v>23</v>
      </c>
      <c r="B11" s="14" t="s">
        <v>69</v>
      </c>
      <c r="C11" s="14">
        <v>1.89</v>
      </c>
    </row>
    <row r="12" spans="1:3" x14ac:dyDescent="0.3">
      <c r="A12" s="25">
        <v>14</v>
      </c>
      <c r="B12" s="14" t="s">
        <v>60</v>
      </c>
      <c r="C12" s="14">
        <v>3.57</v>
      </c>
    </row>
    <row r="13" spans="1:3" x14ac:dyDescent="0.3">
      <c r="A13" s="25">
        <v>19</v>
      </c>
      <c r="B13" s="14" t="s">
        <v>65</v>
      </c>
      <c r="C13" s="14">
        <v>4.49</v>
      </c>
    </row>
    <row r="14" spans="1:3" x14ac:dyDescent="0.3">
      <c r="A14" s="25">
        <v>24</v>
      </c>
      <c r="B14" s="14" t="s">
        <v>70</v>
      </c>
      <c r="C14" s="14">
        <v>4.75</v>
      </c>
    </row>
    <row r="15" spans="1:3" x14ac:dyDescent="0.3">
      <c r="A15" s="25">
        <v>15</v>
      </c>
      <c r="B15" s="14" t="s">
        <v>61</v>
      </c>
      <c r="C15" s="14">
        <v>5.07</v>
      </c>
    </row>
    <row r="16" spans="1:3" x14ac:dyDescent="0.3">
      <c r="A16" s="25">
        <v>27</v>
      </c>
      <c r="B16" s="14" t="s">
        <v>73</v>
      </c>
      <c r="C16" s="14">
        <v>7.57</v>
      </c>
    </row>
    <row r="17" spans="1:3" x14ac:dyDescent="0.3">
      <c r="A17" s="25">
        <v>10</v>
      </c>
      <c r="B17" s="14" t="s">
        <v>56</v>
      </c>
      <c r="C17" s="14">
        <v>8.31</v>
      </c>
    </row>
    <row r="18" spans="1:3" x14ac:dyDescent="0.3">
      <c r="A18" s="25">
        <v>29</v>
      </c>
      <c r="B18" s="14" t="s">
        <v>75</v>
      </c>
      <c r="C18" s="14">
        <v>8.4</v>
      </c>
    </row>
    <row r="19" spans="1:3" x14ac:dyDescent="0.3">
      <c r="A19" s="25">
        <v>3</v>
      </c>
      <c r="B19" s="14" t="s">
        <v>44</v>
      </c>
      <c r="C19" s="14">
        <v>9.39</v>
      </c>
    </row>
    <row r="20" spans="1:3" x14ac:dyDescent="0.3">
      <c r="A20" s="25">
        <v>18</v>
      </c>
      <c r="B20" s="14" t="s">
        <v>64</v>
      </c>
      <c r="C20" s="14">
        <v>10.92</v>
      </c>
    </row>
    <row r="21" spans="1:3" x14ac:dyDescent="0.3">
      <c r="A21" s="25">
        <v>17</v>
      </c>
      <c r="B21" s="14" t="s">
        <v>63</v>
      </c>
      <c r="C21" s="14">
        <v>13.7</v>
      </c>
    </row>
    <row r="22" spans="1:3" x14ac:dyDescent="0.3">
      <c r="A22" s="25">
        <v>1</v>
      </c>
      <c r="B22" s="14" t="s">
        <v>48</v>
      </c>
      <c r="C22" s="14">
        <v>14.37</v>
      </c>
    </row>
    <row r="23" spans="1:3" x14ac:dyDescent="0.3">
      <c r="A23" s="25">
        <v>7</v>
      </c>
      <c r="B23" s="14" t="s">
        <v>53</v>
      </c>
      <c r="C23" s="14">
        <v>15.24</v>
      </c>
    </row>
    <row r="24" spans="1:3" x14ac:dyDescent="0.3">
      <c r="A24" s="25">
        <v>5</v>
      </c>
      <c r="B24" s="14" t="s">
        <v>51</v>
      </c>
      <c r="C24" s="14">
        <v>16.670000000000002</v>
      </c>
    </row>
    <row r="25" spans="1:3" x14ac:dyDescent="0.3">
      <c r="A25" s="25">
        <v>25</v>
      </c>
      <c r="B25" s="14" t="s">
        <v>71</v>
      </c>
      <c r="C25" s="14">
        <v>17.420000000000002</v>
      </c>
    </row>
    <row r="26" spans="1:3" x14ac:dyDescent="0.3">
      <c r="A26" s="25">
        <v>6</v>
      </c>
      <c r="B26" s="14" t="s">
        <v>52</v>
      </c>
      <c r="C26" s="14">
        <v>19.61</v>
      </c>
    </row>
    <row r="27" spans="1:3" x14ac:dyDescent="0.3">
      <c r="A27" s="25">
        <v>16</v>
      </c>
      <c r="B27" s="14" t="s">
        <v>62</v>
      </c>
      <c r="C27" s="14">
        <v>20</v>
      </c>
    </row>
    <row r="28" spans="1:3" x14ac:dyDescent="0.3">
      <c r="A28" s="25">
        <v>9</v>
      </c>
      <c r="B28" s="14" t="s">
        <v>55</v>
      </c>
      <c r="C28" s="14">
        <v>23.08</v>
      </c>
    </row>
    <row r="29" spans="1:3" x14ac:dyDescent="0.3">
      <c r="A29" s="25">
        <v>32</v>
      </c>
      <c r="B29" s="14" t="s">
        <v>6</v>
      </c>
      <c r="C29" s="14">
        <v>28.57</v>
      </c>
    </row>
    <row r="30" spans="1:3" x14ac:dyDescent="0.3">
      <c r="A30" s="25">
        <v>4</v>
      </c>
      <c r="B30" s="14" t="s">
        <v>50</v>
      </c>
      <c r="C30" s="14">
        <v>33.03</v>
      </c>
    </row>
    <row r="31" spans="1:3" x14ac:dyDescent="0.3">
      <c r="A31" s="25">
        <v>12</v>
      </c>
      <c r="B31" s="14" t="s">
        <v>58</v>
      </c>
      <c r="C31" s="14">
        <v>35.39</v>
      </c>
    </row>
    <row r="32" spans="1:3" x14ac:dyDescent="0.3">
      <c r="A32" s="25">
        <v>13</v>
      </c>
      <c r="B32" s="14" t="s">
        <v>59</v>
      </c>
      <c r="C32" s="14">
        <v>41.18</v>
      </c>
    </row>
    <row r="33" spans="1:3" x14ac:dyDescent="0.3">
      <c r="A33" s="25">
        <v>28</v>
      </c>
      <c r="B33" s="14" t="s">
        <v>74</v>
      </c>
      <c r="C33" s="14">
        <v>41.37</v>
      </c>
    </row>
    <row r="34" spans="1:3" x14ac:dyDescent="0.3">
      <c r="A34" s="25">
        <v>21</v>
      </c>
      <c r="B34" s="14" t="s">
        <v>67</v>
      </c>
      <c r="C34" s="14">
        <v>55.24</v>
      </c>
    </row>
    <row r="35" spans="1:3" x14ac:dyDescent="0.3">
      <c r="A35" s="25">
        <v>2</v>
      </c>
      <c r="B35" s="14" t="s">
        <v>49</v>
      </c>
      <c r="C35" s="14">
        <v>62.88</v>
      </c>
    </row>
    <row r="36" spans="1:3" x14ac:dyDescent="0.3">
      <c r="A36" s="25">
        <v>11</v>
      </c>
      <c r="B36" s="14" t="s">
        <v>57</v>
      </c>
      <c r="C36" s="14">
        <v>68.7</v>
      </c>
    </row>
    <row r="37" spans="1:3" x14ac:dyDescent="0.3">
      <c r="A37" s="25">
        <v>26</v>
      </c>
      <c r="B37" s="14" t="s">
        <v>72</v>
      </c>
      <c r="C37" s="14">
        <v>78.97</v>
      </c>
    </row>
    <row r="38" spans="1:3" x14ac:dyDescent="0.3">
      <c r="A38" s="25">
        <v>34</v>
      </c>
      <c r="B38" s="14" t="s">
        <v>8</v>
      </c>
      <c r="C38" s="14">
        <v>83.9</v>
      </c>
    </row>
    <row r="39" spans="1:3" x14ac:dyDescent="0.3">
      <c r="A39" s="25">
        <v>33</v>
      </c>
      <c r="B39" s="14" t="s">
        <v>7</v>
      </c>
      <c r="C39" s="14">
        <v>100</v>
      </c>
    </row>
    <row r="40" spans="1:3" x14ac:dyDescent="0.3">
      <c r="A40" s="15"/>
      <c r="B40" s="15" t="s">
        <v>47</v>
      </c>
      <c r="C40" s="15">
        <v>26.28</v>
      </c>
    </row>
    <row r="41" spans="1:3" x14ac:dyDescent="0.3">
      <c r="A41" s="34"/>
      <c r="B41" s="36" t="s">
        <v>91</v>
      </c>
    </row>
  </sheetData>
  <sortState xmlns:xlrd2="http://schemas.microsoft.com/office/spreadsheetml/2017/richdata2" ref="A5:C39">
    <sortCondition ref="C5:C39"/>
  </sortState>
  <conditionalFormatting sqref="C5:C40">
    <cfRule type="cellIs" dxfId="6" priority="1" operator="lessThan">
      <formula>92</formula>
    </cfRule>
    <cfRule type="cellIs" dxfId="5" priority="2" operator="greaterThan">
      <formula>92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405D-09EE-41D8-A0D4-1BCD0C4B1DC1}">
  <dimension ref="A3:C41"/>
  <sheetViews>
    <sheetView workbookViewId="0">
      <selection activeCell="F43" sqref="F43"/>
    </sheetView>
  </sheetViews>
  <sheetFormatPr defaultRowHeight="14.4" x14ac:dyDescent="0.3"/>
  <cols>
    <col min="1" max="1" width="5.21875" customWidth="1"/>
    <col min="2" max="2" width="19.21875" customWidth="1"/>
    <col min="3" max="3" width="6.77734375" bestFit="1" customWidth="1"/>
  </cols>
  <sheetData>
    <row r="3" spans="1:3" x14ac:dyDescent="0.3">
      <c r="A3" s="35" t="s">
        <v>1</v>
      </c>
      <c r="B3" s="35" t="s">
        <v>2</v>
      </c>
    </row>
    <row r="4" spans="1:3" ht="15" thickBot="1" x14ac:dyDescent="0.35">
      <c r="A4" s="51" t="s">
        <v>1</v>
      </c>
      <c r="B4" s="51" t="s">
        <v>2</v>
      </c>
      <c r="C4" s="53" t="s">
        <v>115</v>
      </c>
    </row>
    <row r="5" spans="1:3" ht="15" thickTop="1" x14ac:dyDescent="0.3">
      <c r="A5" s="44">
        <v>6</v>
      </c>
      <c r="B5" s="45" t="s">
        <v>52</v>
      </c>
      <c r="C5" s="50">
        <v>24.694104560622915</v>
      </c>
    </row>
    <row r="6" spans="1:3" x14ac:dyDescent="0.3">
      <c r="A6" s="25">
        <v>5</v>
      </c>
      <c r="B6" s="14" t="s">
        <v>51</v>
      </c>
      <c r="C6" s="40">
        <v>24.886145127011435</v>
      </c>
    </row>
    <row r="7" spans="1:3" x14ac:dyDescent="0.3">
      <c r="A7" s="25">
        <v>23</v>
      </c>
      <c r="B7" s="14" t="s">
        <v>69</v>
      </c>
      <c r="C7" s="40">
        <v>26.068231717615269</v>
      </c>
    </row>
    <row r="8" spans="1:3" x14ac:dyDescent="0.3">
      <c r="A8" s="25">
        <v>28</v>
      </c>
      <c r="B8" s="14" t="s">
        <v>74</v>
      </c>
      <c r="C8" s="40">
        <v>26.319421742762707</v>
      </c>
    </row>
    <row r="9" spans="1:3" x14ac:dyDescent="0.3">
      <c r="A9" s="25">
        <v>16</v>
      </c>
      <c r="B9" s="14" t="s">
        <v>62</v>
      </c>
      <c r="C9" s="40">
        <v>26.780495308414093</v>
      </c>
    </row>
    <row r="10" spans="1:3" x14ac:dyDescent="0.3">
      <c r="A10" s="25">
        <v>1</v>
      </c>
      <c r="B10" s="14" t="s">
        <v>48</v>
      </c>
      <c r="C10" s="40">
        <v>26.952396014550057</v>
      </c>
    </row>
    <row r="11" spans="1:3" x14ac:dyDescent="0.3">
      <c r="A11" s="25">
        <v>10</v>
      </c>
      <c r="B11" s="14" t="s">
        <v>56</v>
      </c>
      <c r="C11" s="40">
        <v>27.498845798707293</v>
      </c>
    </row>
    <row r="12" spans="1:3" x14ac:dyDescent="0.3">
      <c r="A12" s="25">
        <v>27</v>
      </c>
      <c r="B12" s="14" t="s">
        <v>73</v>
      </c>
      <c r="C12" s="40">
        <v>28.783068783068781</v>
      </c>
    </row>
    <row r="13" spans="1:3" x14ac:dyDescent="0.3">
      <c r="A13" s="25">
        <v>7</v>
      </c>
      <c r="B13" s="14" t="s">
        <v>53</v>
      </c>
      <c r="C13" s="40">
        <v>29.215811284666881</v>
      </c>
    </row>
    <row r="14" spans="1:3" x14ac:dyDescent="0.3">
      <c r="A14" s="25">
        <v>12</v>
      </c>
      <c r="B14" s="14" t="s">
        <v>58</v>
      </c>
      <c r="C14" s="40">
        <v>29.393414211438472</v>
      </c>
    </row>
    <row r="15" spans="1:3" x14ac:dyDescent="0.3">
      <c r="A15" s="25">
        <v>3</v>
      </c>
      <c r="B15" s="14" t="s">
        <v>44</v>
      </c>
      <c r="C15" s="40">
        <v>29.49743344872866</v>
      </c>
    </row>
    <row r="16" spans="1:3" x14ac:dyDescent="0.3">
      <c r="A16" s="25">
        <v>13</v>
      </c>
      <c r="B16" s="14" t="s">
        <v>59</v>
      </c>
      <c r="C16" s="40">
        <v>29.516539440203559</v>
      </c>
    </row>
    <row r="17" spans="1:3" x14ac:dyDescent="0.3">
      <c r="A17" s="25">
        <v>2</v>
      </c>
      <c r="B17" s="14" t="s">
        <v>49</v>
      </c>
      <c r="C17" s="40">
        <v>29.675580518065221</v>
      </c>
    </row>
    <row r="18" spans="1:3" x14ac:dyDescent="0.3">
      <c r="A18" s="25">
        <v>30</v>
      </c>
      <c r="B18" s="14" t="s">
        <v>4</v>
      </c>
      <c r="C18" s="40">
        <v>30.14388489208633</v>
      </c>
    </row>
    <row r="19" spans="1:3" x14ac:dyDescent="0.3">
      <c r="A19" s="25">
        <v>29</v>
      </c>
      <c r="B19" s="14" t="s">
        <v>75</v>
      </c>
      <c r="C19" s="40">
        <v>30.549098922329215</v>
      </c>
    </row>
    <row r="20" spans="1:3" x14ac:dyDescent="0.3">
      <c r="A20" s="25">
        <v>34</v>
      </c>
      <c r="B20" s="14" t="s">
        <v>8</v>
      </c>
      <c r="C20" s="40">
        <v>30.579899310087637</v>
      </c>
    </row>
    <row r="21" spans="1:3" x14ac:dyDescent="0.3">
      <c r="A21" s="25">
        <v>4</v>
      </c>
      <c r="B21" s="14" t="s">
        <v>50</v>
      </c>
      <c r="C21" s="40">
        <v>31.058068118369626</v>
      </c>
    </row>
    <row r="22" spans="1:3" x14ac:dyDescent="0.3">
      <c r="A22" s="25">
        <v>9</v>
      </c>
      <c r="B22" s="14" t="s">
        <v>55</v>
      </c>
      <c r="C22" s="40">
        <v>31.241551049448596</v>
      </c>
    </row>
    <row r="23" spans="1:3" x14ac:dyDescent="0.3">
      <c r="A23" s="25">
        <v>8</v>
      </c>
      <c r="B23" s="14" t="s">
        <v>54</v>
      </c>
      <c r="C23" s="40">
        <v>31.410064773293474</v>
      </c>
    </row>
    <row r="24" spans="1:3" x14ac:dyDescent="0.3">
      <c r="A24" s="25">
        <v>24</v>
      </c>
      <c r="B24" s="14" t="s">
        <v>70</v>
      </c>
      <c r="C24" s="40">
        <v>31.783872185180527</v>
      </c>
    </row>
    <row r="25" spans="1:3" x14ac:dyDescent="0.3">
      <c r="A25" s="25">
        <v>20</v>
      </c>
      <c r="B25" s="14" t="s">
        <v>66</v>
      </c>
      <c r="C25" s="40">
        <v>32.338203491745347</v>
      </c>
    </row>
    <row r="26" spans="1:3" x14ac:dyDescent="0.3">
      <c r="A26" s="25">
        <v>22</v>
      </c>
      <c r="B26" s="14" t="s">
        <v>68</v>
      </c>
      <c r="C26" s="40">
        <v>32.460312557909695</v>
      </c>
    </row>
    <row r="27" spans="1:3" x14ac:dyDescent="0.3">
      <c r="A27" s="25">
        <v>25</v>
      </c>
      <c r="B27" s="14" t="s">
        <v>71</v>
      </c>
      <c r="C27" s="40">
        <v>32.540451867869656</v>
      </c>
    </row>
    <row r="28" spans="1:3" x14ac:dyDescent="0.3">
      <c r="A28" s="25">
        <v>14</v>
      </c>
      <c r="B28" s="14" t="s">
        <v>60</v>
      </c>
      <c r="C28" s="40">
        <v>33.556392025651746</v>
      </c>
    </row>
    <row r="29" spans="1:3" x14ac:dyDescent="0.3">
      <c r="A29" s="25">
        <v>31</v>
      </c>
      <c r="B29" s="14" t="s">
        <v>5</v>
      </c>
      <c r="C29" s="40">
        <v>34.010512856939904</v>
      </c>
    </row>
    <row r="30" spans="1:3" x14ac:dyDescent="0.3">
      <c r="A30" s="25">
        <v>11</v>
      </c>
      <c r="B30" s="14" t="s">
        <v>57</v>
      </c>
      <c r="C30" s="40">
        <v>34.095009019843658</v>
      </c>
    </row>
    <row r="31" spans="1:3" x14ac:dyDescent="0.3">
      <c r="A31" s="25">
        <v>26</v>
      </c>
      <c r="B31" s="14" t="s">
        <v>72</v>
      </c>
      <c r="C31" s="40">
        <v>34.403509993732158</v>
      </c>
    </row>
    <row r="32" spans="1:3" x14ac:dyDescent="0.3">
      <c r="A32" s="25">
        <v>17</v>
      </c>
      <c r="B32" s="14" t="s">
        <v>63</v>
      </c>
      <c r="C32" s="40">
        <v>35.27786306416948</v>
      </c>
    </row>
    <row r="33" spans="1:3" x14ac:dyDescent="0.3">
      <c r="A33" s="25">
        <v>15</v>
      </c>
      <c r="B33" s="14" t="s">
        <v>61</v>
      </c>
      <c r="C33" s="40">
        <v>36.405073325406264</v>
      </c>
    </row>
    <row r="34" spans="1:3" x14ac:dyDescent="0.3">
      <c r="A34" s="25">
        <v>18</v>
      </c>
      <c r="B34" s="14" t="s">
        <v>64</v>
      </c>
      <c r="C34" s="40">
        <v>37.336272856957592</v>
      </c>
    </row>
    <row r="35" spans="1:3" x14ac:dyDescent="0.3">
      <c r="A35" s="25">
        <v>21</v>
      </c>
      <c r="B35" s="14" t="s">
        <v>67</v>
      </c>
      <c r="C35" s="40">
        <v>37.527649306253771</v>
      </c>
    </row>
    <row r="36" spans="1:3" x14ac:dyDescent="0.3">
      <c r="A36" s="25">
        <v>32</v>
      </c>
      <c r="B36" s="14" t="s">
        <v>6</v>
      </c>
      <c r="C36" s="40">
        <v>44.352000000000004</v>
      </c>
    </row>
    <row r="37" spans="1:3" x14ac:dyDescent="0.3">
      <c r="A37" s="25">
        <v>19</v>
      </c>
      <c r="B37" s="14" t="s">
        <v>65</v>
      </c>
      <c r="C37" s="40">
        <v>45.582905466626393</v>
      </c>
    </row>
    <row r="38" spans="1:3" x14ac:dyDescent="0.3">
      <c r="A38" s="25">
        <v>35</v>
      </c>
      <c r="B38" s="14" t="s">
        <v>9</v>
      </c>
      <c r="C38" s="40">
        <v>47.877869207449116</v>
      </c>
    </row>
    <row r="39" spans="1:3" x14ac:dyDescent="0.3">
      <c r="A39" s="25">
        <v>33</v>
      </c>
      <c r="B39" s="14" t="s">
        <v>7</v>
      </c>
      <c r="C39" s="40">
        <v>48.317507548243121</v>
      </c>
    </row>
    <row r="40" spans="1:3" x14ac:dyDescent="0.3">
      <c r="A40" s="15"/>
      <c r="B40" s="15" t="s">
        <v>47</v>
      </c>
      <c r="C40" s="43">
        <v>31.931411006437976</v>
      </c>
    </row>
    <row r="41" spans="1:3" x14ac:dyDescent="0.3">
      <c r="A41" s="34"/>
      <c r="B41" s="36" t="s">
        <v>91</v>
      </c>
    </row>
  </sheetData>
  <sortState xmlns:xlrd2="http://schemas.microsoft.com/office/spreadsheetml/2017/richdata2" ref="A5:C39">
    <sortCondition ref="C5:C39"/>
  </sortState>
  <conditionalFormatting sqref="C5:C40">
    <cfRule type="cellIs" dxfId="4" priority="1" operator="lessThan">
      <formula>40</formula>
    </cfRule>
    <cfRule type="cellIs" dxfId="3" priority="2" operator="greaterThan">
      <formula>40</formula>
    </cfRule>
    <cfRule type="cellIs" dxfId="2" priority="3" operator="lessThan">
      <formula>92</formula>
    </cfRule>
    <cfRule type="cellIs" dxfId="1" priority="4" operator="greaterThan">
      <formula>92</formula>
    </cfRule>
    <cfRule type="cellIs" dxfId="0" priority="5" operator="greaterThan">
      <formula>92</formula>
    </cfRule>
    <cfRule type="cellIs" priority="6" operator="greaterThan">
      <formula>92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20A77-2990-444C-84C4-C39A348D9DB2}">
  <dimension ref="A1"/>
  <sheetViews>
    <sheetView workbookViewId="0">
      <selection activeCell="H13" sqref="H13"/>
    </sheetView>
  </sheetViews>
  <sheetFormatPr defaultRowHeight="14.4" x14ac:dyDescent="0.3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DC18B-A3AE-450C-8457-307B956DD5DA}">
  <dimension ref="B2:L22"/>
  <sheetViews>
    <sheetView topLeftCell="A10" workbookViewId="0">
      <selection activeCell="F17" sqref="F17"/>
    </sheetView>
  </sheetViews>
  <sheetFormatPr defaultRowHeight="14.4" x14ac:dyDescent="0.3"/>
  <cols>
    <col min="2" max="2" width="9" customWidth="1"/>
    <col min="3" max="3" width="21.33203125" customWidth="1"/>
    <col min="4" max="4" width="18.109375" customWidth="1"/>
    <col min="5" max="5" width="27.21875" customWidth="1"/>
    <col min="6" max="6" width="17.44140625" customWidth="1"/>
    <col min="8" max="8" width="17.88671875" customWidth="1"/>
    <col min="9" max="9" width="18.77734375" customWidth="1"/>
    <col min="10" max="10" width="21.5546875" customWidth="1"/>
    <col min="11" max="11" width="16.77734375" customWidth="1"/>
    <col min="12" max="12" width="12.77734375" customWidth="1"/>
  </cols>
  <sheetData>
    <row r="2" spans="2:12" ht="15" thickBot="1" x14ac:dyDescent="0.35"/>
    <row r="3" spans="2:12" ht="19.05" customHeight="1" x14ac:dyDescent="0.3">
      <c r="B3" s="227" t="s">
        <v>1</v>
      </c>
      <c r="C3" s="227" t="s">
        <v>2</v>
      </c>
      <c r="D3" s="230" t="s">
        <v>176</v>
      </c>
      <c r="E3" s="231"/>
      <c r="F3" s="232"/>
      <c r="G3" s="222" t="s">
        <v>178</v>
      </c>
      <c r="H3" s="222" t="s">
        <v>179</v>
      </c>
      <c r="I3" s="222" t="s">
        <v>180</v>
      </c>
      <c r="J3" s="230" t="s">
        <v>181</v>
      </c>
      <c r="K3" s="231"/>
      <c r="L3" s="232"/>
    </row>
    <row r="4" spans="2:12" ht="15.6" thickBot="1" x14ac:dyDescent="0.35">
      <c r="B4" s="228"/>
      <c r="C4" s="228"/>
      <c r="D4" s="219" t="s">
        <v>177</v>
      </c>
      <c r="E4" s="220"/>
      <c r="F4" s="221"/>
      <c r="G4" s="226"/>
      <c r="H4" s="226"/>
      <c r="I4" s="226"/>
      <c r="J4" s="219" t="s">
        <v>177</v>
      </c>
      <c r="K4" s="220"/>
      <c r="L4" s="221"/>
    </row>
    <row r="5" spans="2:12" x14ac:dyDescent="0.3">
      <c r="B5" s="228"/>
      <c r="C5" s="228"/>
      <c r="D5" s="107" t="s">
        <v>182</v>
      </c>
      <c r="E5" s="107" t="s">
        <v>184</v>
      </c>
      <c r="F5" s="107" t="s">
        <v>184</v>
      </c>
      <c r="G5" s="226"/>
      <c r="H5" s="226"/>
      <c r="I5" s="226"/>
      <c r="J5" s="222" t="s">
        <v>187</v>
      </c>
      <c r="K5" s="107" t="s">
        <v>184</v>
      </c>
      <c r="L5" s="107" t="s">
        <v>184</v>
      </c>
    </row>
    <row r="6" spans="2:12" ht="15" thickBot="1" x14ac:dyDescent="0.35">
      <c r="B6" s="229"/>
      <c r="C6" s="229"/>
      <c r="D6" s="103" t="s">
        <v>183</v>
      </c>
      <c r="E6" s="103" t="s">
        <v>185</v>
      </c>
      <c r="F6" s="103" t="s">
        <v>186</v>
      </c>
      <c r="G6" s="223"/>
      <c r="H6" s="223"/>
      <c r="I6" s="223"/>
      <c r="J6" s="223"/>
      <c r="K6" s="103" t="s">
        <v>185</v>
      </c>
      <c r="L6" s="103" t="s">
        <v>186</v>
      </c>
    </row>
    <row r="7" spans="2:12" ht="23.4" thickBot="1" x14ac:dyDescent="0.35">
      <c r="B7" s="224" t="s">
        <v>188</v>
      </c>
      <c r="C7" s="225"/>
      <c r="D7" s="69" t="s">
        <v>189</v>
      </c>
      <c r="E7" s="69" t="s">
        <v>189</v>
      </c>
      <c r="F7" s="69" t="s">
        <v>189</v>
      </c>
      <c r="G7" s="56"/>
      <c r="H7" s="56"/>
      <c r="I7" s="56"/>
      <c r="J7" s="69" t="s">
        <v>189</v>
      </c>
      <c r="K7" s="69" t="s">
        <v>189</v>
      </c>
      <c r="L7" s="69" t="s">
        <v>189</v>
      </c>
    </row>
    <row r="8" spans="2:12" ht="23.4" thickBot="1" x14ac:dyDescent="0.35">
      <c r="B8" s="70">
        <v>1</v>
      </c>
      <c r="C8" s="71" t="s">
        <v>190</v>
      </c>
      <c r="D8" s="71" t="s">
        <v>189</v>
      </c>
      <c r="E8" s="71" t="s">
        <v>189</v>
      </c>
      <c r="F8" s="71" t="s">
        <v>189</v>
      </c>
      <c r="G8" s="57"/>
      <c r="H8" s="57"/>
      <c r="I8" s="57"/>
      <c r="J8" s="71" t="s">
        <v>189</v>
      </c>
      <c r="K8" s="71" t="s">
        <v>189</v>
      </c>
      <c r="L8" s="71" t="s">
        <v>189</v>
      </c>
    </row>
    <row r="9" spans="2:12" ht="23.4" thickBot="1" x14ac:dyDescent="0.35">
      <c r="B9" s="70">
        <v>2</v>
      </c>
      <c r="C9" s="71" t="s">
        <v>190</v>
      </c>
      <c r="D9" s="71" t="s">
        <v>189</v>
      </c>
      <c r="E9" s="71" t="s">
        <v>189</v>
      </c>
      <c r="F9" s="71" t="s">
        <v>189</v>
      </c>
      <c r="G9" s="57"/>
      <c r="H9" s="57"/>
      <c r="I9" s="57"/>
      <c r="J9" s="71" t="s">
        <v>189</v>
      </c>
      <c r="K9" s="71" t="s">
        <v>189</v>
      </c>
      <c r="L9" s="71" t="s">
        <v>189</v>
      </c>
    </row>
    <row r="10" spans="2:12" ht="23.4" thickBot="1" x14ac:dyDescent="0.35">
      <c r="B10" s="70">
        <v>3</v>
      </c>
      <c r="C10" s="71" t="s">
        <v>190</v>
      </c>
      <c r="D10" s="71" t="s">
        <v>189</v>
      </c>
      <c r="E10" s="71" t="s">
        <v>189</v>
      </c>
      <c r="F10" s="71" t="s">
        <v>189</v>
      </c>
      <c r="G10" s="57"/>
      <c r="H10" s="57"/>
      <c r="I10" s="57"/>
      <c r="J10" s="71" t="s">
        <v>189</v>
      </c>
      <c r="K10" s="71" t="s">
        <v>189</v>
      </c>
      <c r="L10" s="71" t="s">
        <v>189</v>
      </c>
    </row>
    <row r="11" spans="2:12" ht="23.4" thickBot="1" x14ac:dyDescent="0.35">
      <c r="B11" s="70">
        <v>4</v>
      </c>
      <c r="C11" s="57"/>
      <c r="D11" s="71" t="s">
        <v>189</v>
      </c>
      <c r="E11" s="71" t="s">
        <v>189</v>
      </c>
      <c r="F11" s="71" t="s">
        <v>189</v>
      </c>
      <c r="G11" s="57"/>
      <c r="H11" s="57"/>
      <c r="I11" s="57"/>
      <c r="J11" s="71" t="s">
        <v>189</v>
      </c>
      <c r="K11" s="71" t="s">
        <v>189</v>
      </c>
      <c r="L11" s="71" t="s">
        <v>189</v>
      </c>
    </row>
    <row r="12" spans="2:12" ht="23.4" thickBot="1" x14ac:dyDescent="0.35">
      <c r="B12" s="70">
        <v>5</v>
      </c>
      <c r="C12" s="57"/>
      <c r="D12" s="71" t="s">
        <v>189</v>
      </c>
      <c r="E12" s="71" t="s">
        <v>189</v>
      </c>
      <c r="F12" s="71" t="s">
        <v>189</v>
      </c>
      <c r="G12" s="57"/>
      <c r="H12" s="57"/>
      <c r="I12" s="57"/>
      <c r="J12" s="71" t="s">
        <v>189</v>
      </c>
      <c r="K12" s="71" t="s">
        <v>189</v>
      </c>
      <c r="L12" s="71" t="s">
        <v>189</v>
      </c>
    </row>
    <row r="13" spans="2:12" ht="23.4" thickBot="1" x14ac:dyDescent="0.35">
      <c r="B13" s="70">
        <v>6</v>
      </c>
      <c r="C13" s="57"/>
      <c r="D13" s="71" t="s">
        <v>189</v>
      </c>
      <c r="E13" s="71" t="s">
        <v>189</v>
      </c>
      <c r="F13" s="71" t="s">
        <v>189</v>
      </c>
      <c r="G13" s="57"/>
      <c r="H13" s="57"/>
      <c r="I13" s="57"/>
      <c r="J13" s="71" t="s">
        <v>189</v>
      </c>
      <c r="K13" s="71" t="s">
        <v>189</v>
      </c>
      <c r="L13" s="71" t="s">
        <v>189</v>
      </c>
    </row>
    <row r="14" spans="2:12" ht="23.4" thickBot="1" x14ac:dyDescent="0.35">
      <c r="B14" s="70">
        <v>7</v>
      </c>
      <c r="C14" s="57"/>
      <c r="D14" s="71" t="s">
        <v>189</v>
      </c>
      <c r="E14" s="71" t="s">
        <v>189</v>
      </c>
      <c r="F14" s="71" t="s">
        <v>189</v>
      </c>
      <c r="G14" s="57"/>
      <c r="H14" s="57"/>
      <c r="I14" s="57"/>
      <c r="J14" s="71" t="s">
        <v>189</v>
      </c>
      <c r="K14" s="71" t="s">
        <v>189</v>
      </c>
      <c r="L14" s="71" t="s">
        <v>189</v>
      </c>
    </row>
    <row r="15" spans="2:12" ht="23.4" thickBot="1" x14ac:dyDescent="0.35">
      <c r="B15" s="70">
        <v>8</v>
      </c>
      <c r="C15" s="57"/>
      <c r="D15" s="71" t="s">
        <v>189</v>
      </c>
      <c r="E15" s="71" t="s">
        <v>189</v>
      </c>
      <c r="F15" s="71" t="s">
        <v>189</v>
      </c>
      <c r="G15" s="57"/>
      <c r="H15" s="57"/>
      <c r="I15" s="57"/>
      <c r="J15" s="71" t="s">
        <v>189</v>
      </c>
      <c r="K15" s="71" t="s">
        <v>189</v>
      </c>
      <c r="L15" s="71" t="s">
        <v>189</v>
      </c>
    </row>
    <row r="16" spans="2:12" ht="23.4" thickBot="1" x14ac:dyDescent="0.35">
      <c r="B16" s="70">
        <v>9</v>
      </c>
      <c r="C16" s="57"/>
      <c r="D16" s="71" t="s">
        <v>189</v>
      </c>
      <c r="E16" s="71" t="s">
        <v>189</v>
      </c>
      <c r="F16" s="71" t="s">
        <v>189</v>
      </c>
      <c r="G16" s="57"/>
      <c r="H16" s="57"/>
      <c r="I16" s="57"/>
      <c r="J16" s="71" t="s">
        <v>189</v>
      </c>
      <c r="K16" s="71" t="s">
        <v>189</v>
      </c>
      <c r="L16" s="71" t="s">
        <v>189</v>
      </c>
    </row>
    <row r="17" spans="2:12" ht="23.4" thickBot="1" x14ac:dyDescent="0.35">
      <c r="B17" s="70">
        <v>10</v>
      </c>
      <c r="C17" s="57"/>
      <c r="D17" s="71" t="s">
        <v>189</v>
      </c>
      <c r="E17" s="71" t="s">
        <v>189</v>
      </c>
      <c r="F17" s="71" t="s">
        <v>189</v>
      </c>
      <c r="G17" s="57"/>
      <c r="H17" s="57"/>
      <c r="I17" s="57"/>
      <c r="J17" s="71" t="s">
        <v>189</v>
      </c>
      <c r="K17" s="71" t="s">
        <v>189</v>
      </c>
      <c r="L17" s="71" t="s">
        <v>189</v>
      </c>
    </row>
    <row r="18" spans="2:12" ht="23.4" thickBot="1" x14ac:dyDescent="0.35">
      <c r="B18" s="70">
        <v>11</v>
      </c>
      <c r="C18" s="57"/>
      <c r="D18" s="71" t="s">
        <v>189</v>
      </c>
      <c r="E18" s="71" t="s">
        <v>189</v>
      </c>
      <c r="F18" s="71" t="s">
        <v>189</v>
      </c>
      <c r="G18" s="57"/>
      <c r="H18" s="57"/>
      <c r="I18" s="57"/>
      <c r="J18" s="71" t="s">
        <v>189</v>
      </c>
      <c r="K18" s="71" t="s">
        <v>189</v>
      </c>
      <c r="L18" s="71" t="s">
        <v>189</v>
      </c>
    </row>
    <row r="19" spans="2:12" ht="23.4" thickBot="1" x14ac:dyDescent="0.35">
      <c r="B19" s="70">
        <v>12</v>
      </c>
      <c r="C19" s="57"/>
      <c r="D19" s="71" t="s">
        <v>189</v>
      </c>
      <c r="E19" s="71" t="s">
        <v>189</v>
      </c>
      <c r="F19" s="71" t="s">
        <v>189</v>
      </c>
      <c r="G19" s="57"/>
      <c r="H19" s="57"/>
      <c r="I19" s="57"/>
      <c r="J19" s="71" t="s">
        <v>189</v>
      </c>
      <c r="K19" s="71" t="s">
        <v>189</v>
      </c>
      <c r="L19" s="71" t="s">
        <v>189</v>
      </c>
    </row>
    <row r="20" spans="2:12" ht="23.4" thickBot="1" x14ac:dyDescent="0.35">
      <c r="B20" s="70">
        <v>13</v>
      </c>
      <c r="C20" s="57"/>
      <c r="D20" s="71" t="s">
        <v>189</v>
      </c>
      <c r="E20" s="71" t="s">
        <v>189</v>
      </c>
      <c r="F20" s="71" t="s">
        <v>189</v>
      </c>
      <c r="G20" s="57"/>
      <c r="H20" s="57"/>
      <c r="I20" s="57"/>
      <c r="J20" s="71" t="s">
        <v>189</v>
      </c>
      <c r="K20" s="71" t="s">
        <v>189</v>
      </c>
      <c r="L20" s="71" t="s">
        <v>189</v>
      </c>
    </row>
    <row r="21" spans="2:12" ht="23.4" thickBot="1" x14ac:dyDescent="0.35">
      <c r="B21" s="70">
        <v>14</v>
      </c>
      <c r="C21" s="57"/>
      <c r="D21" s="71" t="s">
        <v>189</v>
      </c>
      <c r="E21" s="71" t="s">
        <v>189</v>
      </c>
      <c r="F21" s="71" t="s">
        <v>189</v>
      </c>
      <c r="G21" s="57"/>
      <c r="H21" s="57"/>
      <c r="I21" s="57"/>
      <c r="J21" s="71" t="s">
        <v>189</v>
      </c>
      <c r="K21" s="71" t="s">
        <v>189</v>
      </c>
      <c r="L21" s="71" t="s">
        <v>189</v>
      </c>
    </row>
    <row r="22" spans="2:12" ht="23.4" thickBot="1" x14ac:dyDescent="0.35">
      <c r="B22" s="56"/>
      <c r="C22" s="71" t="s">
        <v>191</v>
      </c>
      <c r="D22" s="57"/>
      <c r="E22" s="57"/>
      <c r="F22" s="57"/>
      <c r="G22" s="57"/>
      <c r="H22" s="57"/>
      <c r="I22" s="57"/>
      <c r="J22" s="57"/>
      <c r="K22" s="57"/>
      <c r="L22" s="57"/>
    </row>
  </sheetData>
  <mergeCells count="11">
    <mergeCell ref="J4:L4"/>
    <mergeCell ref="J5:J6"/>
    <mergeCell ref="B7:C7"/>
    <mergeCell ref="H3:H6"/>
    <mergeCell ref="C3:C6"/>
    <mergeCell ref="D3:F3"/>
    <mergeCell ref="D4:F4"/>
    <mergeCell ref="I3:I6"/>
    <mergeCell ref="J3:L3"/>
    <mergeCell ref="B3:B6"/>
    <mergeCell ref="G3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17</vt:i4>
      </vt:variant>
    </vt:vector>
  </HeadingPairs>
  <TitlesOfParts>
    <vt:vector size="17" baseType="lpstr">
      <vt:lpstr>MASALAH GIZI</vt:lpstr>
      <vt:lpstr>rekap indikator 01102026</vt:lpstr>
      <vt:lpstr>capaian intervensi spesifik</vt:lpstr>
      <vt:lpstr>idl</vt:lpstr>
      <vt:lpstr>anak</vt:lpstr>
      <vt:lpstr>gizi</vt:lpstr>
      <vt:lpstr>BUMIL</vt:lpstr>
      <vt:lpstr>remaja</vt:lpstr>
      <vt:lpstr>grafik rematri</vt:lpstr>
      <vt:lpstr>grafik bumil</vt:lpstr>
      <vt:lpstr>grafik pertumbuhan</vt:lpstr>
      <vt:lpstr>grafik ASI MPASI</vt:lpstr>
      <vt:lpstr>grafik PMT</vt:lpstr>
      <vt:lpstr>grafik gibur</vt:lpstr>
      <vt:lpstr>grafik imunisasi</vt:lpstr>
      <vt:lpstr>capaian INEY</vt:lpstr>
      <vt:lpstr>BOK PMT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Ananda Bintang Pratama</cp:lastModifiedBy>
  <dcterms:created xsi:type="dcterms:W3CDTF">2026-04-20T08:22:34Z</dcterms:created>
  <dcterms:modified xsi:type="dcterms:W3CDTF">2026-10-08T05:04:11Z</dcterms:modified>
</cp:coreProperties>
</file>